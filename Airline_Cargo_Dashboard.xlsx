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imaiyo\Jobs\Airline Roles\Etihad\Revenue Management Analyst\"/>
    </mc:Choice>
  </mc:AlternateContent>
  <xr:revisionPtr revIDLastSave="0" documentId="13_ncr:1_{50D878C5-1670-4C74-B881-454805803398}" xr6:coauthVersionLast="47" xr6:coauthVersionMax="47" xr10:uidLastSave="{00000000-0000-0000-0000-000000000000}"/>
  <bookViews>
    <workbookView xWindow="-110" yWindow="-110" windowWidth="19420" windowHeight="10300" firstSheet="9" activeTab="13" xr2:uid="{00000000-000D-0000-FFFF-FFFF00000000}"/>
  </bookViews>
  <sheets>
    <sheet name="🏠 Dashboard" sheetId="1" r:id="rId1"/>
    <sheet name="📊 Route Performance" sheetId="2" r:id="rId2"/>
    <sheet name="_cd1" sheetId="3" state="hidden" r:id="rId3"/>
    <sheet name="📦 Capacity Dashboard" sheetId="4" r:id="rId4"/>
    <sheet name="_cd2" sheetId="5" state="hidden" r:id="rId5"/>
    <sheet name="💰 Revenue Management" sheetId="6" r:id="rId6"/>
    <sheet name="_cd3" sheetId="7" state="hidden" r:id="rId7"/>
    <sheet name="🚨 Disruption Analysis" sheetId="8" r:id="rId8"/>
    <sheet name="_cd4" sheetId="9" state="hidden" r:id="rId9"/>
    <sheet name="🌐 Network Gateway" sheetId="10" r:id="rId10"/>
    <sheet name="_cd5" sheetId="11" state="hidden" r:id="rId11"/>
    <sheet name="📈 Demand Forecast" sheetId="12" r:id="rId12"/>
    <sheet name="_cd6" sheetId="13" state="hidden" r:id="rId13"/>
    <sheet name="🎛 What-If Scenario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4" l="1"/>
  <c r="Q12" i="14"/>
  <c r="Q11" i="14"/>
  <c r="Q10" i="14"/>
  <c r="Q9" i="14"/>
  <c r="Q8" i="14"/>
  <c r="Q7" i="14"/>
  <c r="Q6" i="14"/>
  <c r="Q5" i="14"/>
  <c r="G15" i="8"/>
  <c r="F15" i="8"/>
  <c r="E15" i="8"/>
  <c r="D15" i="8"/>
  <c r="C15" i="8"/>
  <c r="B15" i="8"/>
  <c r="M20" i="2"/>
  <c r="L20" i="2"/>
  <c r="K20" i="2"/>
  <c r="J20" i="2"/>
  <c r="I20" i="2"/>
  <c r="H20" i="2"/>
  <c r="G20" i="2"/>
  <c r="F20" i="2"/>
  <c r="E20" i="2"/>
  <c r="D20" i="2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<sst xmlns="http://schemas.openxmlformats.org/spreadsheetml/2006/main" count="585" uniqueCount="372">
  <si>
    <t xml:space="preserve">  ✈  AIRLINE CARGO REVENUE OPTIMIZATION &amp; CAPACITY INTELLIGENCE DASHBOARD</t>
  </si>
  <si>
    <t xml:space="preserve">  Etihad Cargo Intelligence  ·  Full Year 2024  ·  Abu Dhabi Hub Network  ·  10 Routes  ·  2,013 Flights</t>
  </si>
  <si>
    <t xml:space="preserve">  🔑  KEY PERFORMANCE INDICATORS  —  Full Year 2024</t>
  </si>
  <si>
    <t>TOTAL CARGO REVENUE</t>
  </si>
  <si>
    <t>AVG NETWORK LOAD FACTOR</t>
  </si>
  <si>
    <t>CARGO TONS CARRIED</t>
  </si>
  <si>
    <t>AVG YIELD / KG</t>
  </si>
  <si>
    <t>TOTAL FLIGHTS OPERATED</t>
  </si>
  <si>
    <t>REVENUE LOST TO DISRUPTION</t>
  </si>
  <si>
    <t>DEMAND SPILL</t>
  </si>
  <si>
    <t>DISRUPTION RATE</t>
  </si>
  <si>
    <t>ACTIVE ROUTES</t>
  </si>
  <si>
    <t>$595.5M</t>
  </si>
  <si>
    <t>65.9%</t>
  </si>
  <si>
    <t>90.1K T</t>
  </si>
  <si>
    <t>$6.59</t>
  </si>
  <si>
    <t>2,013</t>
  </si>
  <si>
    <t>$15.1M</t>
  </si>
  <si>
    <t>6913 T</t>
  </si>
  <si>
    <t>12.0%</t>
  </si>
  <si>
    <t>10</t>
  </si>
  <si>
    <t>All confirmed bookings</t>
  </si>
  <si>
    <t>Capacity utilisation</t>
  </si>
  <si>
    <t>Confirmed weight</t>
  </si>
  <si>
    <t>Revenue per kilogram</t>
  </si>
  <si>
    <t>All routes  2024</t>
  </si>
  <si>
    <t>242 disruption events</t>
  </si>
  <si>
    <t>Unserved cargo demand</t>
  </si>
  <si>
    <t>% of all flights</t>
  </si>
  <si>
    <t>Hub-and-spoke network</t>
  </si>
  <si>
    <t xml:space="preserve">  📋  DASHBOARD MODULES  —  Click a sheet tab below to navigate</t>
  </si>
  <si>
    <t>1️⃣  ROUTE PERFORMANCE</t>
  </si>
  <si>
    <t>2️⃣  CAPACITY DASHBOARD</t>
  </si>
  <si>
    <t>3️⃣  REVENUE MANAGEMENT</t>
  </si>
  <si>
    <t>4️⃣  DISRUPTION ANALYSIS</t>
  </si>
  <si>
    <t>5️⃣  NETWORK GATEWAY</t>
  </si>
  <si>
    <t>6️⃣  DEMAND FORECAST</t>
  </si>
  <si>
    <t>7️⃣  WHAT-IF SCENARIOS</t>
  </si>
  <si>
    <t>Revenue · Yield · Load Factor · Margin</t>
  </si>
  <si>
    <t>Utilisation · Spill · Overbooking</t>
  </si>
  <si>
    <t>Class Mix · Cargo Type · Customer Tier</t>
  </si>
  <si>
    <t>Delays · Cancellations · Recovery</t>
  </si>
  <si>
    <t>Hub Perf · Trucks · Transfer Volumes</t>
  </si>
  <si>
    <t>Actual vs Forecast · Seasonality · YoY</t>
  </si>
  <si>
    <t>Capacity · Pricing · Demand → P&amp;L Impact</t>
  </si>
  <si>
    <t>→ see sheet tab below</t>
  </si>
  <si>
    <t xml:space="preserve">  📊  ROUTE PERFORMANCE OVERVIEW  (ranked by revenue)</t>
  </si>
  <si>
    <t xml:space="preserve">  📈  MONTHLY REVENUE TREND</t>
  </si>
  <si>
    <t>Route</t>
  </si>
  <si>
    <t>Region</t>
  </si>
  <si>
    <t>Flights</t>
  </si>
  <si>
    <t>Revenue $</t>
  </si>
  <si>
    <t>Load Fct %</t>
  </si>
  <si>
    <t>Yield/KG $</t>
  </si>
  <si>
    <t>Contrib Mgn $</t>
  </si>
  <si>
    <t>CM %</t>
  </si>
  <si>
    <t>Month</t>
  </si>
  <si>
    <t>MoM Δ $</t>
  </si>
  <si>
    <t>MoM %</t>
  </si>
  <si>
    <t>AUH-DXB</t>
  </si>
  <si>
    <t>UAE Domestic</t>
  </si>
  <si>
    <t>Jan-2024</t>
  </si>
  <si>
    <t>AUH-LHR</t>
  </si>
  <si>
    <t>Middle East-EU</t>
  </si>
  <si>
    <t>Feb-2024</t>
  </si>
  <si>
    <t>AUH-HKG</t>
  </si>
  <si>
    <t>Middle East-AS</t>
  </si>
  <si>
    <t>Mar-2024</t>
  </si>
  <si>
    <t>AUH-NBO</t>
  </si>
  <si>
    <t>Middle East-AF</t>
  </si>
  <si>
    <t>Apr-2024</t>
  </si>
  <si>
    <t>AUH-SIN</t>
  </si>
  <si>
    <t>May-2024</t>
  </si>
  <si>
    <t>AUH-FRA</t>
  </si>
  <si>
    <t>Jun-2024</t>
  </si>
  <si>
    <t>AUH-CDG</t>
  </si>
  <si>
    <t>Jul-2024</t>
  </si>
  <si>
    <t>AUH-JFK</t>
  </si>
  <si>
    <t>Middle East-US</t>
  </si>
  <si>
    <t>Aug-2024</t>
  </si>
  <si>
    <t>AUH-BOM</t>
  </si>
  <si>
    <t>Sep-2024</t>
  </si>
  <si>
    <t>AUH-SYD</t>
  </si>
  <si>
    <t>Middle East-OC</t>
  </si>
  <si>
    <t>Oct-2024</t>
  </si>
  <si>
    <t>TOTAL</t>
  </si>
  <si>
    <t>All Routes</t>
  </si>
  <si>
    <t>Nov-2024</t>
  </si>
  <si>
    <t>Dec-2024</t>
  </si>
  <si>
    <t xml:space="preserve">  ✈  ROUTE PERFORMANCE DASHBOARD</t>
  </si>
  <si>
    <t xml:space="preserve">  Revenue  ·  Load Factor  ·  Yield per KG  ·  Contribution Margin  ·  Route Rankings</t>
  </si>
  <si>
    <t xml:space="preserve">  🔑  KEY ROUTE METRICS</t>
  </si>
  <si>
    <t>BEST REVENUE ROUTE</t>
  </si>
  <si>
    <t>LOWEST REVENUE ROUTE</t>
  </si>
  <si>
    <t>BEST LOAD FACTOR</t>
  </si>
  <si>
    <t>NETWORK AVG YIELD</t>
  </si>
  <si>
    <t>TOTAL NETWORK REV</t>
  </si>
  <si>
    <t>BEST CONTRIB MARGIN</t>
  </si>
  <si>
    <t>TOTAL ROUTES</t>
  </si>
  <si>
    <t>$6.59/kg</t>
  </si>
  <si>
    <t>96.9%</t>
  </si>
  <si>
    <t>Top earner</t>
  </si>
  <si>
    <t>Needs attention</t>
  </si>
  <si>
    <t>67.0% utilisation</t>
  </si>
  <si>
    <t>Revenue per kg</t>
  </si>
  <si>
    <t>All confirmed</t>
  </si>
  <si>
    <t>Top route CM</t>
  </si>
  <si>
    <t>Hub-spoke network</t>
  </si>
  <si>
    <t xml:space="preserve">    DETAILED ROUTE TABLE  (sorted by Revenue — Green CM &gt; 30% | Red CM &lt; 10%)</t>
  </si>
  <si>
    <t>Dist KM</t>
  </si>
  <si>
    <t>Cap Tons</t>
  </si>
  <si>
    <t>Wt Tons</t>
  </si>
  <si>
    <t>Rev/TonKM</t>
  </si>
  <si>
    <t>Est Cost $</t>
  </si>
  <si>
    <t>Rank</t>
  </si>
  <si>
    <t>NETWORK TOTAL</t>
  </si>
  <si>
    <t xml:space="preserve">    CHARTS  —  Revenue by Route  &amp;  Contribution Margin %</t>
  </si>
  <si>
    <t>Revenue USD</t>
  </si>
  <si>
    <t>CM Pct</t>
  </si>
  <si>
    <t xml:space="preserve">  ✈  CAPACITY vs DEMAND OPTIMIZATION DASHBOARD</t>
  </si>
  <si>
    <t xml:space="preserve">  Load Factor  ·  Spill Analysis  ·  Overbooking Levels  ·  Utilisation Status by Route</t>
  </si>
  <si>
    <t xml:space="preserve">  🔑  CAPACITY KPIs</t>
  </si>
  <si>
    <t>AVG LOAD FACTOR</t>
  </si>
  <si>
    <t>TOTAL DEMAND SPILL</t>
  </si>
  <si>
    <t>OVER-UTILISED FLIGHTS</t>
  </si>
  <si>
    <t>UNDER-UTILISED</t>
  </si>
  <si>
    <t>OPTIMALLY UTILISED</t>
  </si>
  <si>
    <t>AVG OVERBOOKING BFR</t>
  </si>
  <si>
    <t>ROUTES ANALYSED</t>
  </si>
  <si>
    <t>0</t>
  </si>
  <si>
    <t>946</t>
  </si>
  <si>
    <t>1,067</t>
  </si>
  <si>
    <t>72.7 T</t>
  </si>
  <si>
    <t>All flights 2024</t>
  </si>
  <si>
    <t>Unserved demand</t>
  </si>
  <si>
    <t>LF &gt; capacity</t>
  </si>
  <si>
    <t>LF &lt; 65%</t>
  </si>
  <si>
    <t>LF 65–100%</t>
  </si>
  <si>
    <t>Per flight</t>
  </si>
  <si>
    <t>Network coverage</t>
  </si>
  <si>
    <t xml:space="preserve">    CAPACITY ANALYSIS BY ROUTE  (sorted by Load Factor — Green ≥ 65% | Red &lt; 65%)</t>
  </si>
  <si>
    <t>Avg LF %</t>
  </si>
  <si>
    <t>Total Cap T</t>
  </si>
  <si>
    <t>Booked T</t>
  </si>
  <si>
    <t>Demand T</t>
  </si>
  <si>
    <t>Spill T</t>
  </si>
  <si>
    <t>Over Flts</t>
  </si>
  <si>
    <t>Under Flts</t>
  </si>
  <si>
    <t>Optimal Flts</t>
  </si>
  <si>
    <t>Utilisation</t>
  </si>
  <si>
    <t>🟢 Optimal</t>
  </si>
  <si>
    <t>🔴 Under</t>
  </si>
  <si>
    <t xml:space="preserve">    CHARTS  —  Load Factor by Route  &amp;  Utilisation Mix</t>
  </si>
  <si>
    <t>Status</t>
  </si>
  <si>
    <t>Over</t>
  </si>
  <si>
    <t>Under</t>
  </si>
  <si>
    <t>Optimal</t>
  </si>
  <si>
    <t xml:space="preserve">  ✈  REVENUE MANAGEMENT STRATEGY PANEL</t>
  </si>
  <si>
    <t xml:space="preserve">  Booking Class Mix  ·  Cargo Type Revenue  ·  Customer Tier  ·  Priority Scoring</t>
  </si>
  <si>
    <t xml:space="preserve">  🔑  REVENUE STRATEGY KPIs</t>
  </si>
  <si>
    <t>HIGH-VALUE CARGO REV</t>
  </si>
  <si>
    <t>LOW-VALUE CARGO REV</t>
  </si>
  <si>
    <t>CLASS P REVENUE</t>
  </si>
  <si>
    <t>AVG PRIORITY SCORE</t>
  </si>
  <si>
    <t>PLATINUM CUST REV</t>
  </si>
  <si>
    <t>CLASS P vs K YIELD Δ</t>
  </si>
  <si>
    <t>TOTAL BOOKINGS</t>
  </si>
  <si>
    <t>$232.7M</t>
  </si>
  <si>
    <t>$89.4M</t>
  </si>
  <si>
    <t>$61.0M</t>
  </si>
  <si>
    <t>0.683</t>
  </si>
  <si>
    <t>$165.2M</t>
  </si>
  <si>
    <t>$9.89/kg</t>
  </si>
  <si>
    <t>28,369</t>
  </si>
  <si>
    <t>Pharma+Valuables</t>
  </si>
  <si>
    <t>General+Mail</t>
  </si>
  <si>
    <t>Premium class</t>
  </si>
  <si>
    <t>Shipment model</t>
  </si>
  <si>
    <t>Top-tier accounts</t>
  </si>
  <si>
    <t>Premium vs economy</t>
  </si>
  <si>
    <t>Confirmed only</t>
  </si>
  <si>
    <t xml:space="preserve">    BOOKING CLASS MIX  (by Revenue)</t>
  </si>
  <si>
    <t xml:space="preserve">    CARGO TYPE REVENUE ANALYSIS</t>
  </si>
  <si>
    <t>Class</t>
  </si>
  <si>
    <t>Shipments</t>
  </si>
  <si>
    <t>Weight KG</t>
  </si>
  <si>
    <t>Avg Rate $</t>
  </si>
  <si>
    <t>Rev Share %</t>
  </si>
  <si>
    <t>Cargo Type</t>
  </si>
  <si>
    <t>C</t>
  </si>
  <si>
    <t>Pharma/Cool Chain</t>
  </si>
  <si>
    <t>B</t>
  </si>
  <si>
    <t>Valuable Cargo</t>
  </si>
  <si>
    <t>A</t>
  </si>
  <si>
    <t>Live Animals</t>
  </si>
  <si>
    <t>D</t>
  </si>
  <si>
    <t>Dangerous Goods</t>
  </si>
  <si>
    <t>P</t>
  </si>
  <si>
    <t>Perishables</t>
  </si>
  <si>
    <t>K</t>
  </si>
  <si>
    <t>E-Commerce</t>
  </si>
  <si>
    <t>General Cargo</t>
  </si>
  <si>
    <t>Mail</t>
  </si>
  <si>
    <t xml:space="preserve">    CUSTOMER TIER BREAKDOWN</t>
  </si>
  <si>
    <t>Customer Tier</t>
  </si>
  <si>
    <t>Gold</t>
  </si>
  <si>
    <t>Platinum</t>
  </si>
  <si>
    <t>Silver</t>
  </si>
  <si>
    <t>Bronze</t>
  </si>
  <si>
    <t xml:space="preserve">    CHARTS  —  Booking Class Revenue  &amp;  Cargo Type Mix</t>
  </si>
  <si>
    <t>Revenue</t>
  </si>
  <si>
    <t xml:space="preserve">  ✈  DISRUPTION &amp; RECOVERY ANALYSIS DASHBOARD</t>
  </si>
  <si>
    <t xml:space="preserve">  Delay  ·  Cancellation  ·  Revenue At Risk  ·  Rebooking Success  ·  Root Cause</t>
  </si>
  <si>
    <t xml:space="preserve">  🔑  DISRUPTION KPIs</t>
  </si>
  <si>
    <t>TOTAL DISRUPTIONS</t>
  </si>
  <si>
    <t>REVENUE LOST</t>
  </si>
  <si>
    <t>REVENUE AT RISK</t>
  </si>
  <si>
    <t>AVG REBOOKING RATE</t>
  </si>
  <si>
    <t>AVG RECOVERY TIME</t>
  </si>
  <si>
    <t>CANCELLATIONS</t>
  </si>
  <si>
    <t>242</t>
  </si>
  <si>
    <t>$15.06M</t>
  </si>
  <si>
    <t>$87.1M</t>
  </si>
  <si>
    <t>83.0%</t>
  </si>
  <si>
    <t>5.1 hrs</t>
  </si>
  <si>
    <t>56</t>
  </si>
  <si>
    <t>2024 full year</t>
  </si>
  <si>
    <t>Confirmed loss</t>
  </si>
  <si>
    <t>All events</t>
  </si>
  <si>
    <t>% cargo rebooked</t>
  </si>
  <si>
    <t>Non-cancel events</t>
  </si>
  <si>
    <t>Full cancels</t>
  </si>
  <si>
    <t xml:space="preserve">    DISRUPTION BREAKDOWN BY TYPE  (sorted by Revenue Lost)</t>
  </si>
  <si>
    <t>Type</t>
  </si>
  <si>
    <t>Count</t>
  </si>
  <si>
    <t>Rev At Risk $</t>
  </si>
  <si>
    <t>Rev Lost $</t>
  </si>
  <si>
    <t>Rev Saved $</t>
  </si>
  <si>
    <t>Avg Rebook %</t>
  </si>
  <si>
    <t>Avg Rec Hrs</t>
  </si>
  <si>
    <t>Cancellation</t>
  </si>
  <si>
    <t>Partial Load</t>
  </si>
  <si>
    <t>Aircraft Swap</t>
  </si>
  <si>
    <t>Diversion</t>
  </si>
  <si>
    <t>Delay</t>
  </si>
  <si>
    <t xml:space="preserve">    BY ROUTE</t>
  </si>
  <si>
    <t xml:space="preserve">    ROOT CAUSE ANALYSIS</t>
  </si>
  <si>
    <t>Disruptions</t>
  </si>
  <si>
    <t>Root Cause</t>
  </si>
  <si>
    <t>Incidents</t>
  </si>
  <si>
    <t>ATC</t>
  </si>
  <si>
    <t>Crew</t>
  </si>
  <si>
    <t>Weather</t>
  </si>
  <si>
    <t>Mechanical</t>
  </si>
  <si>
    <t>Slot</t>
  </si>
  <si>
    <t xml:space="preserve">    CHARTS  —  Revenue Lost by Type  &amp;  Rebooking Success Rate</t>
  </si>
  <si>
    <t>Rev Lost</t>
  </si>
  <si>
    <t>Rebook %</t>
  </si>
  <si>
    <t xml:space="preserve">  ✈  NETWORK &amp; GATEWAY OPTIMIZATION DASHBOARD</t>
  </si>
  <si>
    <t xml:space="preserve">  Hub Performance  ·  Truck Utilisation  ·  Transfer Volumes  ·  Dwell Time  ·  On-Time %</t>
  </si>
  <si>
    <t xml:space="preserve">  🔑  GATEWAY KPIs</t>
  </si>
  <si>
    <t>TOP REVENUE GATEWAY</t>
  </si>
  <si>
    <t>TOTAL TRANSFER TONS</t>
  </si>
  <si>
    <t>AVG TRUCK UTILISATION</t>
  </si>
  <si>
    <t>AVG DWELL TIME</t>
  </si>
  <si>
    <t>BEST ON-TIME GATEWAY</t>
  </si>
  <si>
    <t>TOTAL TRUCK TRIPS</t>
  </si>
  <si>
    <t>GATEWAYS MONITORED</t>
  </si>
  <si>
    <t>AUH</t>
  </si>
  <si>
    <t>10632 T</t>
  </si>
  <si>
    <t>76.2%</t>
  </si>
  <si>
    <t>8.1 hrs</t>
  </si>
  <si>
    <t>4,489</t>
  </si>
  <si>
    <t>5</t>
  </si>
  <si>
    <t>$696.1M revenue</t>
  </si>
  <si>
    <t>All gateways 2024</t>
  </si>
  <si>
    <t>Network avg</t>
  </si>
  <si>
    <t>Ground time</t>
  </si>
  <si>
    <t>89.1% OTP</t>
  </si>
  <si>
    <t>Ground ops</t>
  </si>
  <si>
    <t>AUH·DXB·SHJ·AAN·RKT</t>
  </si>
  <si>
    <t xml:space="preserve">    GATEWAY PERFORMANCE SUMMARY  (sorted by Revenue — Green OTP &gt; 90% | Red &lt; 82%)</t>
  </si>
  <si>
    <t>Gateway</t>
  </si>
  <si>
    <t>Inbound T</t>
  </si>
  <si>
    <t>Outbound T</t>
  </si>
  <si>
    <t>Transfer T</t>
  </si>
  <si>
    <t>Truck Util %</t>
  </si>
  <si>
    <t>Dwell Hrs</t>
  </si>
  <si>
    <t>On-Time %</t>
  </si>
  <si>
    <t>Truck Trips</t>
  </si>
  <si>
    <t>AAN</t>
  </si>
  <si>
    <t>DXB</t>
  </si>
  <si>
    <t>RKT</t>
  </si>
  <si>
    <t>SHJ</t>
  </si>
  <si>
    <t xml:space="preserve">    AUH HUB  —  MONTHLY PERFORMANCE TREND 2024</t>
  </si>
  <si>
    <t xml:space="preserve">    CHARTS  —  Gateway Revenue  &amp;  AUH Monthly Trend</t>
  </si>
  <si>
    <t>AUH Revenue</t>
  </si>
  <si>
    <t xml:space="preserve">  ✈  DEMAND FORECASTING &amp; SEASONALITY INTELLIGENCE</t>
  </si>
  <si>
    <t xml:space="preserve">  Actual vs Forecast  ·  Seasonality Index  ·  YoY Growth  ·  Forecast Accuracy</t>
  </si>
  <si>
    <t xml:space="preserve">  🔑  FORECAST KPIs</t>
  </si>
  <si>
    <t>AVG FORECAST ERROR</t>
  </si>
  <si>
    <t>AVG YoY GROWTH</t>
  </si>
  <si>
    <t>PEAK DEMAND MONTH</t>
  </si>
  <si>
    <t>TROUGH MONTH</t>
  </si>
  <si>
    <t>ROUTES FORECASTED</t>
  </si>
  <si>
    <t>7.5%</t>
  </si>
  <si>
    <t>6.8%</t>
  </si>
  <si>
    <t>MAPE all routes</t>
  </si>
  <si>
    <t>Demand growth</t>
  </si>
  <si>
    <t>Highest actual</t>
  </si>
  <si>
    <t>Lowest actual</t>
  </si>
  <si>
    <t xml:space="preserve">    MONTHLY ACTUAL vs FORECAST  —  All Routes Aggregated  (Green var &gt; +5% | Red var &lt; -5%)</t>
  </si>
  <si>
    <t>Actual T</t>
  </si>
  <si>
    <t>Forecast T</t>
  </si>
  <si>
    <t>Variance T</t>
  </si>
  <si>
    <t>Variance %</t>
  </si>
  <si>
    <t>Season Idx</t>
  </si>
  <si>
    <t>YoY Growth %</t>
  </si>
  <si>
    <t xml:space="preserve">    CHART  —  Actual vs Forecast Demand Trend (Monthly, All Routes)</t>
  </si>
  <si>
    <t>Actual Tons</t>
  </si>
  <si>
    <t>Forecast Tons</t>
  </si>
  <si>
    <t xml:space="preserve">  ✈  WHAT-IF SCENARIO ANALYSIS PANEL</t>
  </si>
  <si>
    <t xml:space="preserve">  Adjust the BLUE input cells  →  All output cells recalculate automatically in real time</t>
  </si>
  <si>
    <t xml:space="preserve">  ⚡  INSTRUCTIONS:  Change any BLUE cell value below. Outputs update instantly. This model simulates the revenue impact of capacity, pricing, demand and operational decisions.</t>
  </si>
  <si>
    <t xml:space="preserve">    📥  INPUT ASSUMPTIONS  (Blue = change these)</t>
  </si>
  <si>
    <t xml:space="preserve">    📤  SCENARIO OUTPUTS  (Auto-calculated  —  do not edit)</t>
  </si>
  <si>
    <t xml:space="preserve">  Base Annual Revenue ($)</t>
  </si>
  <si>
    <t xml:space="preserve">  ← Confirmed network revenue — 2024 baseline</t>
  </si>
  <si>
    <t xml:space="preserve">  Projected Base Revenue ($)</t>
  </si>
  <si>
    <t xml:space="preserve">  Capacity Change (%)</t>
  </si>
  <si>
    <t xml:space="preserve">  ← Fleet capacity increase (+) or reduction (-)</t>
  </si>
  <si>
    <t xml:space="preserve">  Revenue Uplift — Capacity ($)</t>
  </si>
  <si>
    <t xml:space="preserve">  Pricing / Rate Change (%)</t>
  </si>
  <si>
    <t xml:space="preserve">  ← Average rate increase (+) or decrease (-) across network</t>
  </si>
  <si>
    <t xml:space="preserve">  Revenue Uplift — Pricing ($)</t>
  </si>
  <si>
    <t xml:space="preserve">  Demand Shock (%)</t>
  </si>
  <si>
    <t xml:space="preserve">  ← External demand event — negative = demand drop</t>
  </si>
  <si>
    <t xml:space="preserve">  Revenue Impact — Demand Shock ($)</t>
  </si>
  <si>
    <t xml:space="preserve">  Target Load Factor (%)</t>
  </si>
  <si>
    <t xml:space="preserve">  ← Desired average load factor across all routes</t>
  </si>
  <si>
    <t xml:space="preserve">  Overbooking Revenue Upside ($)</t>
  </si>
  <si>
    <t xml:space="preserve">  Overbooking Buffer (%)</t>
  </si>
  <si>
    <t xml:space="preserve">  ← % above capacity allowed for strategic overbooking</t>
  </si>
  <si>
    <t xml:space="preserve">  High-Value Revenue Est. ($)</t>
  </si>
  <si>
    <t xml:space="preserve">  High-Value Cargo Mix (%)</t>
  </si>
  <si>
    <t xml:space="preserve">  ← Target % of revenue from Pharma, Valuables, DG</t>
  </si>
  <si>
    <t xml:space="preserve">  Estimated Disruption Loss ($)</t>
  </si>
  <si>
    <t xml:space="preserve">  Target Disruption Rate (%)</t>
  </si>
  <si>
    <t xml:space="preserve">  ← Target disruption % — lower = better recovery</t>
  </si>
  <si>
    <t xml:space="preserve">  Effective Load Factor Est. (%)</t>
  </si>
  <si>
    <t xml:space="preserve">  Avg Rebooking Success (%)</t>
  </si>
  <si>
    <t xml:space="preserve">  ← % of disrupted cargo successfully rerouted/rebooked</t>
  </si>
  <si>
    <t xml:space="preserve">  ⭐  NET SCENARIO REVENUE ($)</t>
  </si>
  <si>
    <t xml:space="preserve">    📌  SCENARIO PLAYBOOK  —  Suggested Scenarios to Test</t>
  </si>
  <si>
    <t>🟢 PEAK SEASON PLAY</t>
  </si>
  <si>
    <t>Cap +10%  ·  Pricing +5%  ·  Demand +8%</t>
  </si>
  <si>
    <t xml:space="preserve">  Model Aug–Sep trade peak: more capacity, higher rates, stronger demand</t>
  </si>
  <si>
    <t>🔵 REVENUE QUALITY</t>
  </si>
  <si>
    <t>HV Mix +45%  ·  Pricing +12%</t>
  </si>
  <si>
    <t xml:space="preserve">  Shift to premium cargo (Pharma, Valuables) without adding flights</t>
  </si>
  <si>
    <t>🔴 TRADE DISRUPTION</t>
  </si>
  <si>
    <t>Demand Shock -20%  ·  Disruption Rate +15%</t>
  </si>
  <si>
    <t xml:space="preserve">  Simulate geopolitical risk / supply chain crisis impact on P&amp;L</t>
  </si>
  <si>
    <t>🟡 OVERBOOKING TEST</t>
  </si>
  <si>
    <t>Overbooking Buffer +15%</t>
  </si>
  <si>
    <t xml:space="preserve">  High-risk: model overage revenue gain vs. operational cost/chaos</t>
  </si>
  <si>
    <t>⚪ EFFICIENCY DRIVE</t>
  </si>
  <si>
    <t>Load Factor Target 92%  ·  Capacity -5%</t>
  </si>
  <si>
    <t xml:space="preserve">  Fly fewer flights, fill them higher — watch spill risk increase</t>
  </si>
  <si>
    <t>🟣 NETWORK EXPANSION</t>
  </si>
  <si>
    <t>Capacity +20%  ·  Routes +3</t>
  </si>
  <si>
    <t xml:space="preserve">  Simulate adding 3 new routes — capacity up, yield dilution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</si>
</sst>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BDD7EE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8"/>
      <color rgb="FFBDD7EE"/>
      <name val="Calibri"/>
    </font>
    <font>
      <sz val="7"/>
      <color rgb="FF8EB4E3"/>
      <name val="Calibri"/>
    </font>
    <font>
      <b/>
      <sz val="8"/>
      <color rgb="FFE2EFDA"/>
      <name val="Calibri"/>
    </font>
    <font>
      <sz val="7"/>
      <color rgb="FFA9D18E"/>
      <name val="Calibri"/>
    </font>
    <font>
      <b/>
      <sz val="8"/>
      <color rgb="FFFFF2CC"/>
      <name val="Calibri"/>
    </font>
    <font>
      <sz val="7"/>
      <color rgb="FFC9A84C"/>
      <name val="Calibri"/>
    </font>
    <font>
      <b/>
      <sz val="8"/>
      <color rgb="FFD9D9D9"/>
      <name val="Calibri"/>
    </font>
    <font>
      <sz val="7"/>
      <color rgb="FFBFBFBF"/>
      <name val="Calibri"/>
    </font>
    <font>
      <b/>
      <sz val="8"/>
      <color rgb="FFFFE7E7"/>
      <name val="Calibri"/>
    </font>
    <font>
      <sz val="7"/>
      <color rgb="FFFF9999"/>
      <name val="Calibri"/>
    </font>
    <font>
      <b/>
      <sz val="8"/>
      <color rgb="FF90D0D8"/>
      <name val="Calibri"/>
    </font>
    <font>
      <sz val="7"/>
      <color rgb="FFC0E8EC"/>
      <name val="Calibri"/>
    </font>
    <font>
      <sz val="8"/>
      <color rgb="FFBDD7EE"/>
      <name val="Calibri"/>
    </font>
    <font>
      <b/>
      <sz val="8"/>
      <color rgb="FFFFFFFF"/>
      <name val="Calibri"/>
    </font>
    <font>
      <sz val="8"/>
      <color rgb="FFE2EFDA"/>
      <name val="Calibri"/>
    </font>
    <font>
      <sz val="8"/>
      <color rgb="FFFFE7E7"/>
      <name val="Calibri"/>
    </font>
    <font>
      <b/>
      <sz val="9"/>
      <color rgb="FFFFFFFF"/>
      <name val="Calibri"/>
    </font>
    <font>
      <sz val="9"/>
      <name val="Calibri"/>
    </font>
    <font>
      <b/>
      <sz val="9"/>
      <color rgb="FF1F3864"/>
      <name val="Calibri"/>
    </font>
    <font>
      <b/>
      <sz val="8"/>
      <color rgb="FFC0E8EC"/>
      <name val="Calibri"/>
    </font>
    <font>
      <sz val="7"/>
      <color rgb="FF90D0D8"/>
      <name val="Calibri"/>
    </font>
    <font>
      <b/>
      <sz val="9"/>
      <color rgb="FF1E6B3C"/>
      <name val="Calibri"/>
    </font>
    <font>
      <b/>
      <sz val="9"/>
      <color rgb="FF404040"/>
      <name val="Calibri"/>
    </font>
    <font>
      <b/>
      <sz val="9"/>
      <color rgb="FFC00000"/>
      <name val="Calibri"/>
    </font>
    <font>
      <sz val="10"/>
      <color rgb="FF1F3864"/>
      <name val="Calibri"/>
    </font>
    <font>
      <b/>
      <sz val="10"/>
      <color rgb="FF404040"/>
      <name val="Calibri"/>
    </font>
    <font>
      <b/>
      <sz val="12"/>
      <color rgb="FF0000FF"/>
      <name val="Calibri"/>
    </font>
    <font>
      <sz val="8"/>
      <color rgb="FF404040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3"/>
      <color rgb="FF1F3864"/>
      <name val="Calibri"/>
    </font>
    <font>
      <b/>
      <sz val="9"/>
      <color rgb="FF7B3F00"/>
      <name val="Calibri"/>
    </font>
    <font>
      <sz val="9"/>
      <color rgb="FF40404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4F6F"/>
      </patternFill>
    </fill>
    <fill>
      <patternFill patternType="solid">
        <fgColor rgb="FF404040"/>
      </patternFill>
    </fill>
    <fill>
      <patternFill patternType="solid">
        <fgColor rgb="FF1A4F8A"/>
      </patternFill>
    </fill>
    <fill>
      <patternFill patternType="solid">
        <fgColor rgb="FF1E6B3C"/>
      </patternFill>
    </fill>
    <fill>
      <patternFill patternType="solid">
        <fgColor rgb="FFB8860B"/>
      </patternFill>
    </fill>
    <fill>
      <patternFill patternType="solid">
        <fgColor rgb="FFC00000"/>
      </patternFill>
    </fill>
    <fill>
      <patternFill patternType="solid">
        <fgColor rgb="FF9C6500"/>
      </patternFill>
    </fill>
    <fill>
      <patternFill patternType="solid">
        <fgColor rgb="FF1F6B75"/>
      </patternFill>
    </fill>
    <fill>
      <patternFill patternType="solid">
        <fgColor rgb="FF2E75B6"/>
      </patternFill>
    </fill>
    <fill>
      <patternFill patternType="solid">
        <fgColor rgb="FF5C3D91"/>
      </patternFill>
    </fill>
    <fill>
      <patternFill patternType="solid">
        <fgColor rgb="FFF7F9FC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E7E7"/>
      </patternFill>
    </fill>
    <fill>
      <patternFill patternType="solid">
        <fgColor rgb="FFFFC000"/>
      </patternFill>
    </fill>
    <fill>
      <patternFill patternType="solid">
        <fgColor rgb="FFDAA520"/>
      </patternFill>
    </fill>
    <fill>
      <patternFill patternType="solid">
        <fgColor rgb="FFA8A8A8"/>
      </patternFill>
    </fill>
    <fill>
      <patternFill patternType="solid">
        <fgColor rgb="FFCD7F32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1" fillId="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/>
    </xf>
    <xf numFmtId="0" fontId="22" fillId="13" borderId="1" xfId="0" applyFont="1" applyFill="1" applyBorder="1" applyAlignment="1">
      <alignment horizontal="right" vertical="center"/>
    </xf>
    <xf numFmtId="3" fontId="22" fillId="13" borderId="1" xfId="0" applyNumberFormat="1" applyFont="1" applyFill="1" applyBorder="1" applyAlignment="1">
      <alignment horizontal="right" vertical="center"/>
    </xf>
    <xf numFmtId="164" fontId="22" fillId="13" borderId="1" xfId="0" applyNumberFormat="1" applyFont="1" applyFill="1" applyBorder="1" applyAlignment="1">
      <alignment horizontal="right" vertical="center"/>
    </xf>
    <xf numFmtId="165" fontId="22" fillId="13" borderId="1" xfId="0" applyNumberFormat="1" applyFont="1" applyFill="1" applyBorder="1" applyAlignment="1">
      <alignment horizontal="right" vertical="center"/>
    </xf>
    <xf numFmtId="164" fontId="22" fillId="14" borderId="1" xfId="0" applyNumberFormat="1" applyFont="1" applyFill="1" applyBorder="1" applyAlignment="1">
      <alignment horizontal="right" vertical="center"/>
    </xf>
    <xf numFmtId="3" fontId="22" fillId="14" borderId="1" xfId="0" applyNumberFormat="1" applyFont="1" applyFill="1" applyBorder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164" fontId="22" fillId="0" borderId="1" xfId="0" applyNumberFormat="1" applyFont="1" applyBorder="1" applyAlignment="1">
      <alignment horizontal="right" vertical="center"/>
    </xf>
    <xf numFmtId="165" fontId="22" fillId="0" borderId="1" xfId="0" applyNumberFormat="1" applyFont="1" applyBorder="1" applyAlignment="1">
      <alignment horizontal="right" vertical="center"/>
    </xf>
    <xf numFmtId="3" fontId="22" fillId="16" borderId="1" xfId="0" applyNumberFormat="1" applyFont="1" applyFill="1" applyBorder="1" applyAlignment="1">
      <alignment horizontal="right" vertical="center"/>
    </xf>
    <xf numFmtId="164" fontId="22" fillId="16" borderId="1" xfId="0" applyNumberFormat="1" applyFont="1" applyFill="1" applyBorder="1" applyAlignment="1">
      <alignment horizontal="right" vertical="center"/>
    </xf>
    <xf numFmtId="0" fontId="23" fillId="15" borderId="1" xfId="0" applyFont="1" applyFill="1" applyBorder="1" applyAlignment="1">
      <alignment horizontal="center" vertical="center" wrapText="1"/>
    </xf>
    <xf numFmtId="3" fontId="23" fillId="15" borderId="1" xfId="0" applyNumberFormat="1" applyFont="1" applyFill="1" applyBorder="1" applyAlignment="1">
      <alignment horizontal="center" vertical="center" wrapText="1"/>
    </xf>
    <xf numFmtId="164" fontId="23" fillId="15" borderId="1" xfId="0" applyNumberFormat="1" applyFont="1" applyFill="1" applyBorder="1" applyAlignment="1">
      <alignment horizontal="center" vertical="center" wrapText="1"/>
    </xf>
    <xf numFmtId="165" fontId="23" fillId="15" borderId="1" xfId="0" applyNumberFormat="1" applyFont="1" applyFill="1" applyBorder="1" applyAlignment="1">
      <alignment horizontal="center" vertical="center" wrapText="1"/>
    </xf>
    <xf numFmtId="166" fontId="22" fillId="13" borderId="1" xfId="0" applyNumberFormat="1" applyFont="1" applyFill="1" applyBorder="1" applyAlignment="1">
      <alignment horizontal="right" vertical="center"/>
    </xf>
    <xf numFmtId="0" fontId="26" fillId="13" borderId="1" xfId="0" applyFont="1" applyFill="1" applyBorder="1" applyAlignment="1">
      <alignment horizontal="right" vertical="center"/>
    </xf>
    <xf numFmtId="166" fontId="22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right" vertical="center"/>
    </xf>
    <xf numFmtId="0" fontId="27" fillId="13" borderId="1" xfId="0" applyFont="1" applyFill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0" fontId="28" fillId="13" borderId="1" xfId="0" applyFont="1" applyFill="1" applyBorder="1" applyAlignment="1">
      <alignment horizontal="right" vertical="center"/>
    </xf>
    <xf numFmtId="166" fontId="23" fillId="15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left" vertical="center"/>
    </xf>
    <xf numFmtId="0" fontId="27" fillId="18" borderId="1" xfId="0" applyFont="1" applyFill="1" applyBorder="1" applyAlignment="1">
      <alignment horizontal="left" vertical="center"/>
    </xf>
    <xf numFmtId="0" fontId="27" fillId="19" borderId="1" xfId="0" applyFont="1" applyFill="1" applyBorder="1" applyAlignment="1">
      <alignment horizontal="left" vertical="center"/>
    </xf>
    <xf numFmtId="0" fontId="27" fillId="20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center" vertical="center" wrapText="1"/>
    </xf>
    <xf numFmtId="164" fontId="22" fillId="21" borderId="1" xfId="0" applyNumberFormat="1" applyFont="1" applyFill="1" applyBorder="1" applyAlignment="1">
      <alignment horizontal="right" vertical="center"/>
    </xf>
    <xf numFmtId="3" fontId="31" fillId="22" borderId="2" xfId="0" applyNumberFormat="1" applyFont="1" applyFill="1" applyBorder="1" applyAlignment="1">
      <alignment horizontal="center" vertical="center" wrapText="1"/>
    </xf>
    <xf numFmtId="3" fontId="33" fillId="15" borderId="2" xfId="0" applyNumberFormat="1" applyFont="1" applyFill="1" applyBorder="1" applyAlignment="1">
      <alignment horizontal="center" vertical="center" wrapText="1"/>
    </xf>
    <xf numFmtId="164" fontId="31" fillId="22" borderId="2" xfId="0" applyNumberFormat="1" applyFont="1" applyFill="1" applyBorder="1" applyAlignment="1">
      <alignment horizontal="center" vertical="center" wrapText="1"/>
    </xf>
    <xf numFmtId="3" fontId="33" fillId="14" borderId="2" xfId="0" applyNumberFormat="1" applyFont="1" applyFill="1" applyBorder="1" applyAlignment="1">
      <alignment horizontal="center" vertical="center" wrapText="1"/>
    </xf>
    <xf numFmtId="3" fontId="34" fillId="16" borderId="2" xfId="0" applyNumberFormat="1" applyFont="1" applyFill="1" applyBorder="1" applyAlignment="1">
      <alignment horizontal="center" vertical="center" wrapText="1"/>
    </xf>
    <xf numFmtId="164" fontId="33" fillId="15" borderId="2" xfId="0" applyNumberFormat="1" applyFont="1" applyFill="1" applyBorder="1" applyAlignment="1">
      <alignment horizontal="center" vertical="center" wrapText="1"/>
    </xf>
    <xf numFmtId="3" fontId="35" fillId="9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/>
    </xf>
    <xf numFmtId="0" fontId="36" fillId="21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9" fillId="2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Total Revenue by Route (USD)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_cd1!$B$1</c:f>
              <c:strCache>
                <c:ptCount val="1"/>
                <c:pt idx="0">
                  <c:v>Revenue 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_cd1!$A$2:$A$11</c:f>
              <c:strCache>
                <c:ptCount val="10"/>
                <c:pt idx="0">
                  <c:v>AUH-DXB</c:v>
                </c:pt>
                <c:pt idx="1">
                  <c:v>AUH-LHR</c:v>
                </c:pt>
                <c:pt idx="2">
                  <c:v>AUH-HKG</c:v>
                </c:pt>
                <c:pt idx="3">
                  <c:v>AUH-NBO</c:v>
                </c:pt>
                <c:pt idx="4">
                  <c:v>AUH-SIN</c:v>
                </c:pt>
                <c:pt idx="5">
                  <c:v>AUH-FRA</c:v>
                </c:pt>
                <c:pt idx="6">
                  <c:v>AUH-CDG</c:v>
                </c:pt>
                <c:pt idx="7">
                  <c:v>AUH-JFK</c:v>
                </c:pt>
                <c:pt idx="8">
                  <c:v>AUH-BOM</c:v>
                </c:pt>
                <c:pt idx="9">
                  <c:v>AUH-SYD</c:v>
                </c:pt>
              </c:strCache>
            </c:strRef>
          </c:cat>
          <c:val>
            <c:numRef>
              <c:f>_cd1!$B$2:$B$11</c:f>
              <c:numCache>
                <c:formatCode>General</c:formatCode>
                <c:ptCount val="10"/>
                <c:pt idx="0">
                  <c:v>108627038</c:v>
                </c:pt>
                <c:pt idx="1">
                  <c:v>75984335</c:v>
                </c:pt>
                <c:pt idx="2">
                  <c:v>75774875</c:v>
                </c:pt>
                <c:pt idx="3">
                  <c:v>54452516</c:v>
                </c:pt>
                <c:pt idx="4">
                  <c:v>53959457</c:v>
                </c:pt>
                <c:pt idx="5">
                  <c:v>52766607</c:v>
                </c:pt>
                <c:pt idx="6">
                  <c:v>52688048</c:v>
                </c:pt>
                <c:pt idx="7">
                  <c:v>50693725</c:v>
                </c:pt>
                <c:pt idx="8">
                  <c:v>35894053</c:v>
                </c:pt>
                <c:pt idx="9">
                  <c:v>34615356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B-459B-95DB-1961C0681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Revenue 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Contribution Margin % by Route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_cd1!$C$1</c:f>
              <c:strCache>
                <c:ptCount val="1"/>
                <c:pt idx="0">
                  <c:v>CM Pct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_cd1!$A$2:$A$11</c:f>
              <c:strCache>
                <c:ptCount val="10"/>
                <c:pt idx="0">
                  <c:v>AUH-DXB</c:v>
                </c:pt>
                <c:pt idx="1">
                  <c:v>AUH-LHR</c:v>
                </c:pt>
                <c:pt idx="2">
                  <c:v>AUH-HKG</c:v>
                </c:pt>
                <c:pt idx="3">
                  <c:v>AUH-NBO</c:v>
                </c:pt>
                <c:pt idx="4">
                  <c:v>AUH-SIN</c:v>
                </c:pt>
                <c:pt idx="5">
                  <c:v>AUH-FRA</c:v>
                </c:pt>
                <c:pt idx="6">
                  <c:v>AUH-CDG</c:v>
                </c:pt>
                <c:pt idx="7">
                  <c:v>AUH-JFK</c:v>
                </c:pt>
                <c:pt idx="8">
                  <c:v>AUH-BOM</c:v>
                </c:pt>
                <c:pt idx="9">
                  <c:v>AUH-SYD</c:v>
                </c:pt>
              </c:strCache>
            </c:strRef>
          </c:cat>
          <c:val>
            <c:numRef>
              <c:f>_cd1!$C$2:$C$11</c:f>
              <c:numCache>
                <c:formatCode>General</c:formatCode>
                <c:ptCount val="10"/>
                <c:pt idx="0">
                  <c:v>96.9</c:v>
                </c:pt>
                <c:pt idx="1">
                  <c:v>86.2</c:v>
                </c:pt>
                <c:pt idx="2">
                  <c:v>87.1</c:v>
                </c:pt>
                <c:pt idx="3">
                  <c:v>85.9</c:v>
                </c:pt>
                <c:pt idx="4">
                  <c:v>87</c:v>
                </c:pt>
                <c:pt idx="5">
                  <c:v>82.8</c:v>
                </c:pt>
                <c:pt idx="6">
                  <c:v>81.900000000000006</c:v>
                </c:pt>
                <c:pt idx="7">
                  <c:v>75.099999999999994</c:v>
                </c:pt>
                <c:pt idx="8">
                  <c:v>76.599999999999994</c:v>
                </c:pt>
                <c:pt idx="9">
                  <c:v>64.900000000000006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61E-B55D-083D7CFB1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CM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Average Load Factor by Route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_cd2!$B$1</c:f>
              <c:strCache>
                <c:ptCount val="1"/>
                <c:pt idx="0">
                  <c:v>Avg LF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_cd2!$A$2:$A$11</c:f>
              <c:strCache>
                <c:ptCount val="10"/>
                <c:pt idx="0">
                  <c:v>AUH-JFK</c:v>
                </c:pt>
                <c:pt idx="1">
                  <c:v>AUH-SIN</c:v>
                </c:pt>
                <c:pt idx="2">
                  <c:v>AUH-DXB</c:v>
                </c:pt>
                <c:pt idx="3">
                  <c:v>AUH-BOM</c:v>
                </c:pt>
                <c:pt idx="4">
                  <c:v>AUH-HKG</c:v>
                </c:pt>
                <c:pt idx="5">
                  <c:v>AUH-NBO</c:v>
                </c:pt>
                <c:pt idx="6">
                  <c:v>AUH-CDG</c:v>
                </c:pt>
                <c:pt idx="7">
                  <c:v>AUH-LHR</c:v>
                </c:pt>
                <c:pt idx="8">
                  <c:v>AUH-FRA</c:v>
                </c:pt>
                <c:pt idx="9">
                  <c:v>AUH-SYD</c:v>
                </c:pt>
              </c:strCache>
            </c:strRef>
          </c:cat>
          <c:val>
            <c:numRef>
              <c:f>_cd2!$B$2:$B$11</c:f>
              <c:numCache>
                <c:formatCode>General</c:formatCode>
                <c:ptCount val="10"/>
                <c:pt idx="0">
                  <c:v>67</c:v>
                </c:pt>
                <c:pt idx="1">
                  <c:v>66.5</c:v>
                </c:pt>
                <c:pt idx="2">
                  <c:v>66.400000000000006</c:v>
                </c:pt>
                <c:pt idx="3">
                  <c:v>66.2</c:v>
                </c:pt>
                <c:pt idx="4">
                  <c:v>65.900000000000006</c:v>
                </c:pt>
                <c:pt idx="5">
                  <c:v>65.8</c:v>
                </c:pt>
                <c:pt idx="6">
                  <c:v>65.7</c:v>
                </c:pt>
                <c:pt idx="7">
                  <c:v>65.599999999999994</c:v>
                </c:pt>
                <c:pt idx="8">
                  <c:v>65.2</c:v>
                </c:pt>
                <c:pt idx="9">
                  <c:v>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9B4-90B6-1546A0BF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Load Factor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Flight Utilisation Status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_cd2!$E$1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_cd2!$D$2:$D$4</c:f>
              <c:strCache>
                <c:ptCount val="3"/>
                <c:pt idx="0">
                  <c:v>Over</c:v>
                </c:pt>
                <c:pt idx="1">
                  <c:v>Under</c:v>
                </c:pt>
                <c:pt idx="2">
                  <c:v>Optimal</c:v>
                </c:pt>
              </c:strCache>
            </c:strRef>
          </c:cat>
          <c:val>
            <c:numRef>
              <c:f>_cd2!$E$2:$E$4</c:f>
              <c:numCache>
                <c:formatCode>General</c:formatCode>
                <c:ptCount val="3"/>
                <c:pt idx="0">
                  <c:v>0</c:v>
                </c:pt>
                <c:pt idx="1">
                  <c:v>946</c:v>
                </c:pt>
                <c:pt idx="2">
                  <c:v>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33E-8099-287513AFC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Revenue by Booking Class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_cd3!$B$1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_cd3!$A$2:$A$7</c:f>
              <c:strCache>
                <c:ptCount val="6"/>
                <c:pt idx="0">
                  <c:v>C</c:v>
                </c:pt>
                <c:pt idx="1">
                  <c:v>B</c:v>
                </c:pt>
                <c:pt idx="2">
                  <c:v>A</c:v>
                </c:pt>
                <c:pt idx="3">
                  <c:v>D</c:v>
                </c:pt>
                <c:pt idx="4">
                  <c:v>P</c:v>
                </c:pt>
                <c:pt idx="5">
                  <c:v>K</c:v>
                </c:pt>
              </c:strCache>
            </c:strRef>
          </c:cat>
          <c:val>
            <c:numRef>
              <c:f>_cd3!$B$2:$B$7</c:f>
              <c:numCache>
                <c:formatCode>General</c:formatCode>
                <c:ptCount val="6"/>
                <c:pt idx="0">
                  <c:v>159726768</c:v>
                </c:pt>
                <c:pt idx="1">
                  <c:v>144962989</c:v>
                </c:pt>
                <c:pt idx="2">
                  <c:v>100060405</c:v>
                </c:pt>
                <c:pt idx="3">
                  <c:v>99117336</c:v>
                </c:pt>
                <c:pt idx="4">
                  <c:v>60964813</c:v>
                </c:pt>
                <c:pt idx="5">
                  <c:v>30623700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C-4EE8-82A3-57A2E4DB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Revenue by Cargo Type (USD)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_cd3!$E$1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_cd3!$D$2:$D$9</c:f>
              <c:strCache>
                <c:ptCount val="8"/>
                <c:pt idx="0">
                  <c:v>Pharma/Cool Chain</c:v>
                </c:pt>
                <c:pt idx="1">
                  <c:v>Valuable Cargo</c:v>
                </c:pt>
                <c:pt idx="2">
                  <c:v>Live Animals</c:v>
                </c:pt>
                <c:pt idx="3">
                  <c:v>Dangerous Goods</c:v>
                </c:pt>
                <c:pt idx="4">
                  <c:v>Perishables</c:v>
                </c:pt>
                <c:pt idx="5">
                  <c:v>E-Commerce</c:v>
                </c:pt>
                <c:pt idx="6">
                  <c:v>General Cargo</c:v>
                </c:pt>
                <c:pt idx="7">
                  <c:v>Mail</c:v>
                </c:pt>
              </c:strCache>
            </c:strRef>
          </c:cat>
          <c:val>
            <c:numRef>
              <c:f>_cd3!$E$2:$E$9</c:f>
              <c:numCache>
                <c:formatCode>General</c:formatCode>
                <c:ptCount val="8"/>
                <c:pt idx="0">
                  <c:v>120851017</c:v>
                </c:pt>
                <c:pt idx="1">
                  <c:v>111892291</c:v>
                </c:pt>
                <c:pt idx="2">
                  <c:v>84657326</c:v>
                </c:pt>
                <c:pt idx="3">
                  <c:v>72508569</c:v>
                </c:pt>
                <c:pt idx="4">
                  <c:v>63004284</c:v>
                </c:pt>
                <c:pt idx="5">
                  <c:v>53101370</c:v>
                </c:pt>
                <c:pt idx="6">
                  <c:v>47158738</c:v>
                </c:pt>
                <c:pt idx="7">
                  <c:v>42282415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2-44DC-BE30-74F4BAB21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Revenue 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Revenue Lost by Disruption Type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_cd4!$B$1</c:f>
              <c:strCache>
                <c:ptCount val="1"/>
                <c:pt idx="0">
                  <c:v>Rev Lost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_cd4!$A$2:$A$6</c:f>
              <c:strCache>
                <c:ptCount val="5"/>
                <c:pt idx="0">
                  <c:v>Cancellation</c:v>
                </c:pt>
                <c:pt idx="1">
                  <c:v>Partial Load</c:v>
                </c:pt>
                <c:pt idx="2">
                  <c:v>Aircraft Swap</c:v>
                </c:pt>
                <c:pt idx="3">
                  <c:v>Diversion</c:v>
                </c:pt>
                <c:pt idx="4">
                  <c:v>Delay</c:v>
                </c:pt>
              </c:strCache>
            </c:strRef>
          </c:cat>
          <c:val>
            <c:numRef>
              <c:f>_cd4!$B$2:$B$6</c:f>
              <c:numCache>
                <c:formatCode>General</c:formatCode>
                <c:ptCount val="5"/>
                <c:pt idx="0">
                  <c:v>5427525</c:v>
                </c:pt>
                <c:pt idx="1">
                  <c:v>2921684</c:v>
                </c:pt>
                <c:pt idx="2">
                  <c:v>2672230</c:v>
                </c:pt>
                <c:pt idx="3">
                  <c:v>2284625</c:v>
                </c:pt>
                <c:pt idx="4">
                  <c:v>1750462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B-4783-A274-96290695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Rebooking Success % by Disruption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_cd4!$C$1</c:f>
              <c:strCache>
                <c:ptCount val="1"/>
                <c:pt idx="0">
                  <c:v>Rebook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_cd4!$A$2:$A$6</c:f>
              <c:strCache>
                <c:ptCount val="5"/>
                <c:pt idx="0">
                  <c:v>Cancellation</c:v>
                </c:pt>
                <c:pt idx="1">
                  <c:v>Partial Load</c:v>
                </c:pt>
                <c:pt idx="2">
                  <c:v>Aircraft Swap</c:v>
                </c:pt>
                <c:pt idx="3">
                  <c:v>Diversion</c:v>
                </c:pt>
                <c:pt idx="4">
                  <c:v>Delay</c:v>
                </c:pt>
              </c:strCache>
            </c:strRef>
          </c:cat>
          <c:val>
            <c:numRef>
              <c:f>_cd4!$C$2:$C$6</c:f>
              <c:numCache>
                <c:formatCode>General</c:formatCode>
                <c:ptCount val="5"/>
                <c:pt idx="0">
                  <c:v>74</c:v>
                </c:pt>
                <c:pt idx="1">
                  <c:v>84.9</c:v>
                </c:pt>
                <c:pt idx="2">
                  <c:v>86.5</c:v>
                </c:pt>
                <c:pt idx="3">
                  <c:v>84.5</c:v>
                </c:pt>
                <c:pt idx="4">
                  <c:v>86.7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4-49E3-83B9-7A0B00FB2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Total Revenue by Gateway (USD)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_cd5!$B$1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_cd5!$A$2:$A$6</c:f>
              <c:strCache>
                <c:ptCount val="5"/>
                <c:pt idx="0">
                  <c:v>AUH</c:v>
                </c:pt>
                <c:pt idx="1">
                  <c:v>AAN</c:v>
                </c:pt>
                <c:pt idx="2">
                  <c:v>DXB</c:v>
                </c:pt>
                <c:pt idx="3">
                  <c:v>RKT</c:v>
                </c:pt>
                <c:pt idx="4">
                  <c:v>SHJ</c:v>
                </c:pt>
              </c:strCache>
            </c:strRef>
          </c:cat>
          <c:val>
            <c:numRef>
              <c:f>_cd5!$B$2:$B$6</c:f>
              <c:numCache>
                <c:formatCode>General</c:formatCode>
                <c:ptCount val="5"/>
                <c:pt idx="0">
                  <c:v>696145204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5-4700-9761-90CFF060C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AUH Hub 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_cd5!$E$1</c:f>
              <c:strCache>
                <c:ptCount val="1"/>
                <c:pt idx="0">
                  <c:v>AUH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_cd5!$D$2:$D$13</c:f>
              <c:strCache>
                <c:ptCount val="1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</c:strCache>
            </c:strRef>
          </c:cat>
          <c:val>
            <c:numRef>
              <c:f>_cd5!$E$2:$E$13</c:f>
              <c:numCache>
                <c:formatCode>General</c:formatCode>
                <c:ptCount val="12"/>
                <c:pt idx="0">
                  <c:v>50475220</c:v>
                </c:pt>
                <c:pt idx="1">
                  <c:v>46276678</c:v>
                </c:pt>
                <c:pt idx="2">
                  <c:v>61338915</c:v>
                </c:pt>
                <c:pt idx="3">
                  <c:v>64551935</c:v>
                </c:pt>
                <c:pt idx="4">
                  <c:v>68745988</c:v>
                </c:pt>
                <c:pt idx="5">
                  <c:v>70343014</c:v>
                </c:pt>
                <c:pt idx="6">
                  <c:v>69958017</c:v>
                </c:pt>
                <c:pt idx="7">
                  <c:v>64081732</c:v>
                </c:pt>
                <c:pt idx="8">
                  <c:v>58560302</c:v>
                </c:pt>
                <c:pt idx="9">
                  <c:v>55270986</c:v>
                </c:pt>
                <c:pt idx="10">
                  <c:v>43579058</c:v>
                </c:pt>
                <c:pt idx="11">
                  <c:v>42963359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EC-4295-9848-A807A27A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Revenue 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Actual vs Forecast Cargo Demand — All Routes (Tons)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_cd6!$B$1</c:f>
              <c:strCache>
                <c:ptCount val="1"/>
                <c:pt idx="0">
                  <c:v>Actual Tons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_cd6!$A$2:$A$13</c:f>
              <c:strCache>
                <c:ptCount val="1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</c:strCache>
            </c:strRef>
          </c:cat>
          <c:val>
            <c:numRef>
              <c:f>_cd6!$B$2:$B$13</c:f>
              <c:numCache>
                <c:formatCode>General</c:formatCode>
                <c:ptCount val="12"/>
                <c:pt idx="0">
                  <c:v>6590.8</c:v>
                </c:pt>
                <c:pt idx="1">
                  <c:v>6062.5</c:v>
                </c:pt>
                <c:pt idx="2">
                  <c:v>8046.4</c:v>
                </c:pt>
                <c:pt idx="3">
                  <c:v>8165.3</c:v>
                </c:pt>
                <c:pt idx="4">
                  <c:v>8799.4</c:v>
                </c:pt>
                <c:pt idx="5">
                  <c:v>8844.1</c:v>
                </c:pt>
                <c:pt idx="6">
                  <c:v>9080.2000000000007</c:v>
                </c:pt>
                <c:pt idx="7">
                  <c:v>8462.1</c:v>
                </c:pt>
                <c:pt idx="8">
                  <c:v>7638</c:v>
                </c:pt>
                <c:pt idx="9">
                  <c:v>7089.7</c:v>
                </c:pt>
                <c:pt idx="10">
                  <c:v>5701.2</c:v>
                </c:pt>
                <c:pt idx="11">
                  <c:v>5583.9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D7-4E19-8252-7907D1179925}"/>
            </c:ext>
          </c:extLst>
        </c:ser>
        <c:ser>
          <c:idx val="1"/>
          <c:order val="1"/>
          <c:tx>
            <c:strRef>
              <c:f>_cd6!$C$1</c:f>
              <c:strCache>
                <c:ptCount val="1"/>
                <c:pt idx="0">
                  <c:v>Forecast Tons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_cd6!$A$2:$A$13</c:f>
              <c:strCache>
                <c:ptCount val="1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</c:strCache>
            </c:strRef>
          </c:cat>
          <c:val>
            <c:numRef>
              <c:f>_cd6!$C$2:$C$13</c:f>
              <c:numCache>
                <c:formatCode>General</c:formatCode>
                <c:ptCount val="12"/>
                <c:pt idx="0">
                  <c:v>587</c:v>
                </c:pt>
                <c:pt idx="1">
                  <c:v>663.6</c:v>
                </c:pt>
                <c:pt idx="2">
                  <c:v>737.5</c:v>
                </c:pt>
                <c:pt idx="3">
                  <c:v>830.1</c:v>
                </c:pt>
                <c:pt idx="4">
                  <c:v>866.1</c:v>
                </c:pt>
                <c:pt idx="5">
                  <c:v>909.2</c:v>
                </c:pt>
                <c:pt idx="6">
                  <c:v>912.1</c:v>
                </c:pt>
                <c:pt idx="7">
                  <c:v>819.4</c:v>
                </c:pt>
                <c:pt idx="8">
                  <c:v>711</c:v>
                </c:pt>
                <c:pt idx="9">
                  <c:v>636.20000000000005</c:v>
                </c:pt>
                <c:pt idx="10">
                  <c:v>571.1</c:v>
                </c:pt>
                <c:pt idx="11">
                  <c:v>544.29999999999995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D7-4E19-8252-7907D1179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Demand (Tons)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48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504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50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26</xdr:row>
      <xdr:rowOff>0</xdr:rowOff>
    </xdr:from>
    <xdr:ext cx="648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31</xdr:row>
      <xdr:rowOff>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57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31</xdr:row>
      <xdr:rowOff>0</xdr:rowOff>
    </xdr:from>
    <xdr:ext cx="720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showGridLines="0" showRowColHeaders="0" workbookViewId="0">
      <pane ySplit="4" topLeftCell="A14" activePane="bottomLeft" state="frozen"/>
      <selection pane="bottomLeft" sqref="A1:AB1"/>
    </sheetView>
  </sheetViews>
  <sheetFormatPr defaultRowHeight="14.5" x14ac:dyDescent="0.35"/>
  <cols>
    <col min="1" max="1" width="13" customWidth="1"/>
    <col min="2" max="2" width="15" customWidth="1"/>
    <col min="3" max="3" width="7" customWidth="1"/>
    <col min="4" max="4" width="14" customWidth="1"/>
    <col min="5" max="6" width="11" customWidth="1"/>
    <col min="7" max="7" width="15" customWidth="1"/>
    <col min="8" max="8" width="8" customWidth="1"/>
    <col min="9" max="17" width="9.36328125" customWidth="1"/>
    <col min="18" max="19" width="13" customWidth="1"/>
    <col min="20" max="20" width="12" customWidth="1"/>
    <col min="21" max="21" width="10" customWidth="1"/>
    <col min="22" max="28" width="9.36328125" customWidth="1"/>
  </cols>
  <sheetData>
    <row r="1" spans="1:28" ht="46" customHeight="1" x14ac:dyDescent="0.35">
      <c r="A1" s="76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8" ht="18" customHeight="1" x14ac:dyDescent="0.35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28" ht="8" customHeight="1" x14ac:dyDescent="0.35"/>
    <row r="4" spans="1:28" ht="20" customHeight="1" x14ac:dyDescent="0.35">
      <c r="A4" s="56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28" ht="17" customHeight="1" x14ac:dyDescent="0.35">
      <c r="A5" s="65" t="s">
        <v>3</v>
      </c>
      <c r="B5" s="43"/>
      <c r="C5" s="43"/>
      <c r="D5" s="73" t="s">
        <v>4</v>
      </c>
      <c r="E5" s="43"/>
      <c r="F5" s="43"/>
      <c r="G5" s="66" t="s">
        <v>5</v>
      </c>
      <c r="H5" s="43"/>
      <c r="I5" s="43"/>
      <c r="J5" s="82" t="s">
        <v>6</v>
      </c>
      <c r="K5" s="43"/>
      <c r="L5" s="43"/>
      <c r="M5" s="87" t="s">
        <v>7</v>
      </c>
      <c r="N5" s="43"/>
      <c r="O5" s="43"/>
      <c r="P5" s="74" t="s">
        <v>8</v>
      </c>
      <c r="Q5" s="43"/>
      <c r="R5" s="43"/>
      <c r="S5" s="72" t="s">
        <v>9</v>
      </c>
      <c r="T5" s="43"/>
      <c r="U5" s="43"/>
      <c r="V5" s="84" t="s">
        <v>10</v>
      </c>
      <c r="W5" s="43"/>
      <c r="X5" s="43"/>
      <c r="Y5" s="46" t="s">
        <v>11</v>
      </c>
      <c r="Z5" s="43"/>
      <c r="AA5" s="43"/>
    </row>
    <row r="6" spans="1:28" ht="32" customHeight="1" x14ac:dyDescent="0.35">
      <c r="A6" s="86" t="s">
        <v>12</v>
      </c>
      <c r="B6" s="43"/>
      <c r="C6" s="43"/>
      <c r="D6" s="88" t="s">
        <v>13</v>
      </c>
      <c r="E6" s="43"/>
      <c r="F6" s="43"/>
      <c r="G6" s="48" t="s">
        <v>14</v>
      </c>
      <c r="H6" s="43"/>
      <c r="I6" s="43"/>
      <c r="J6" s="44" t="s">
        <v>15</v>
      </c>
      <c r="K6" s="43"/>
      <c r="L6" s="43"/>
      <c r="M6" s="55" t="s">
        <v>16</v>
      </c>
      <c r="N6" s="43"/>
      <c r="O6" s="43"/>
      <c r="P6" s="94" t="s">
        <v>17</v>
      </c>
      <c r="Q6" s="43"/>
      <c r="R6" s="43"/>
      <c r="S6" s="61" t="s">
        <v>18</v>
      </c>
      <c r="T6" s="43"/>
      <c r="U6" s="43"/>
      <c r="V6" s="57" t="s">
        <v>19</v>
      </c>
      <c r="W6" s="43"/>
      <c r="X6" s="43"/>
      <c r="Y6" s="62" t="s">
        <v>20</v>
      </c>
      <c r="Z6" s="43"/>
      <c r="AA6" s="43"/>
    </row>
    <row r="7" spans="1:28" ht="15" customHeight="1" x14ac:dyDescent="0.35">
      <c r="A7" s="92" t="s">
        <v>21</v>
      </c>
      <c r="B7" s="43"/>
      <c r="C7" s="43"/>
      <c r="D7" s="53" t="s">
        <v>22</v>
      </c>
      <c r="E7" s="43"/>
      <c r="F7" s="43"/>
      <c r="G7" s="93" t="s">
        <v>23</v>
      </c>
      <c r="H7" s="43"/>
      <c r="I7" s="43"/>
      <c r="J7" s="59" t="s">
        <v>24</v>
      </c>
      <c r="K7" s="43"/>
      <c r="L7" s="43"/>
      <c r="M7" s="50" t="s">
        <v>25</v>
      </c>
      <c r="N7" s="43"/>
      <c r="O7" s="43"/>
      <c r="P7" s="60" t="s">
        <v>26</v>
      </c>
      <c r="Q7" s="43"/>
      <c r="R7" s="43"/>
      <c r="S7" s="45" t="s">
        <v>27</v>
      </c>
      <c r="T7" s="43"/>
      <c r="U7" s="43"/>
      <c r="V7" s="70" t="s">
        <v>28</v>
      </c>
      <c r="W7" s="43"/>
      <c r="X7" s="43"/>
      <c r="Y7" s="58" t="s">
        <v>29</v>
      </c>
      <c r="Z7" s="43"/>
      <c r="AA7" s="43"/>
    </row>
    <row r="8" spans="1:28" ht="8" customHeight="1" x14ac:dyDescent="0.35"/>
    <row r="9" spans="1:28" ht="20" customHeight="1" x14ac:dyDescent="0.35">
      <c r="A9" s="47" t="s">
        <v>30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22" customHeight="1" x14ac:dyDescent="0.35">
      <c r="A10" s="54" t="s">
        <v>31</v>
      </c>
      <c r="B10" s="43"/>
      <c r="C10" s="43"/>
      <c r="D10" s="43"/>
      <c r="E10" s="79" t="s">
        <v>32</v>
      </c>
      <c r="F10" s="43"/>
      <c r="G10" s="43"/>
      <c r="H10" s="43"/>
      <c r="I10" s="52" t="s">
        <v>33</v>
      </c>
      <c r="J10" s="43"/>
      <c r="K10" s="43"/>
      <c r="L10" s="43"/>
      <c r="M10" s="78" t="s">
        <v>34</v>
      </c>
      <c r="N10" s="43"/>
      <c r="O10" s="43"/>
      <c r="P10" s="43"/>
      <c r="Q10" s="81" t="s">
        <v>35</v>
      </c>
      <c r="R10" s="43"/>
      <c r="S10" s="43"/>
      <c r="T10" s="43"/>
      <c r="U10" s="64" t="s">
        <v>36</v>
      </c>
      <c r="V10" s="43"/>
      <c r="W10" s="43"/>
      <c r="X10" s="43"/>
      <c r="Y10" s="83" t="s">
        <v>37</v>
      </c>
      <c r="Z10" s="43"/>
      <c r="AA10" s="43"/>
      <c r="AB10" s="43"/>
    </row>
    <row r="11" spans="1:28" ht="22" customHeight="1" x14ac:dyDescent="0.35">
      <c r="A11" s="69" t="s">
        <v>38</v>
      </c>
      <c r="B11" s="43"/>
      <c r="C11" s="43"/>
      <c r="D11" s="43"/>
      <c r="E11" s="63" t="s">
        <v>39</v>
      </c>
      <c r="F11" s="43"/>
      <c r="G11" s="43"/>
      <c r="H11" s="43"/>
      <c r="I11" s="71" t="s">
        <v>40</v>
      </c>
      <c r="J11" s="43"/>
      <c r="K11" s="43"/>
      <c r="L11" s="43"/>
      <c r="M11" s="75" t="s">
        <v>41</v>
      </c>
      <c r="N11" s="43"/>
      <c r="O11" s="43"/>
      <c r="P11" s="43"/>
      <c r="Q11" s="51" t="s">
        <v>42</v>
      </c>
      <c r="R11" s="43"/>
      <c r="S11" s="43"/>
      <c r="T11" s="43"/>
      <c r="U11" s="77" t="s">
        <v>43</v>
      </c>
      <c r="V11" s="43"/>
      <c r="W11" s="43"/>
      <c r="X11" s="43"/>
      <c r="Y11" s="80" t="s">
        <v>44</v>
      </c>
      <c r="Z11" s="43"/>
      <c r="AA11" s="43"/>
      <c r="AB11" s="43"/>
    </row>
    <row r="12" spans="1:28" ht="22" customHeight="1" x14ac:dyDescent="0.35">
      <c r="A12" s="85" t="s">
        <v>45</v>
      </c>
      <c r="B12" s="43"/>
      <c r="C12" s="43"/>
      <c r="D12" s="43"/>
      <c r="E12" s="67" t="s">
        <v>45</v>
      </c>
      <c r="F12" s="43"/>
      <c r="G12" s="43"/>
      <c r="H12" s="43"/>
      <c r="I12" s="89" t="s">
        <v>45</v>
      </c>
      <c r="J12" s="43"/>
      <c r="K12" s="43"/>
      <c r="L12" s="43"/>
      <c r="M12" s="90" t="s">
        <v>45</v>
      </c>
      <c r="N12" s="43"/>
      <c r="O12" s="43"/>
      <c r="P12" s="43"/>
      <c r="Q12" s="68" t="s">
        <v>45</v>
      </c>
      <c r="R12" s="43"/>
      <c r="S12" s="43"/>
      <c r="T12" s="43"/>
      <c r="U12" s="91" t="s">
        <v>45</v>
      </c>
      <c r="V12" s="43"/>
      <c r="W12" s="43"/>
      <c r="X12" s="43"/>
      <c r="Y12" s="49" t="s">
        <v>45</v>
      </c>
      <c r="Z12" s="43"/>
      <c r="AA12" s="43"/>
      <c r="AB12" s="43"/>
    </row>
    <row r="13" spans="1:28" ht="8" customHeight="1" x14ac:dyDescent="0.35"/>
    <row r="14" spans="1:28" ht="20" customHeight="1" x14ac:dyDescent="0.35">
      <c r="A14" s="47" t="s">
        <v>46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R14" s="47" t="s">
        <v>47</v>
      </c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spans="1:28" ht="22" customHeight="1" x14ac:dyDescent="0.3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54</v>
      </c>
      <c r="H15" s="1" t="s">
        <v>55</v>
      </c>
      <c r="R15" s="1" t="s">
        <v>56</v>
      </c>
      <c r="S15" s="1" t="s">
        <v>51</v>
      </c>
      <c r="T15" s="1" t="s">
        <v>57</v>
      </c>
      <c r="U15" s="1" t="s">
        <v>58</v>
      </c>
    </row>
    <row r="16" spans="1:28" x14ac:dyDescent="0.35">
      <c r="A16" s="2" t="s">
        <v>59</v>
      </c>
      <c r="B16" s="2" t="s">
        <v>60</v>
      </c>
      <c r="C16" s="3">
        <v>366</v>
      </c>
      <c r="D16" s="4">
        <v>108627038</v>
      </c>
      <c r="E16" s="5">
        <v>66.400000000000006</v>
      </c>
      <c r="F16" s="6">
        <v>6.5570000000000004</v>
      </c>
      <c r="G16" s="4">
        <v>105267158</v>
      </c>
      <c r="H16" s="7">
        <v>96.9</v>
      </c>
      <c r="R16" s="2" t="s">
        <v>61</v>
      </c>
      <c r="S16" s="4">
        <v>43510579</v>
      </c>
      <c r="T16" s="8">
        <v>0</v>
      </c>
      <c r="U16" s="7">
        <v>0</v>
      </c>
    </row>
    <row r="17" spans="1:21" x14ac:dyDescent="0.35">
      <c r="A17" s="9" t="s">
        <v>62</v>
      </c>
      <c r="B17" s="9" t="s">
        <v>63</v>
      </c>
      <c r="C17" s="10">
        <v>183</v>
      </c>
      <c r="D17" s="11">
        <v>75984335</v>
      </c>
      <c r="E17" s="12">
        <v>65.599999999999994</v>
      </c>
      <c r="F17" s="13">
        <v>6.7469999999999999</v>
      </c>
      <c r="G17" s="11">
        <v>65484710</v>
      </c>
      <c r="H17" s="7">
        <v>86.2</v>
      </c>
      <c r="R17" s="9" t="s">
        <v>64</v>
      </c>
      <c r="S17" s="11">
        <v>39249250</v>
      </c>
      <c r="T17" s="14">
        <v>-4261329</v>
      </c>
      <c r="U17" s="15">
        <v>-9.8000000000000007</v>
      </c>
    </row>
    <row r="18" spans="1:21" x14ac:dyDescent="0.35">
      <c r="A18" s="2" t="s">
        <v>65</v>
      </c>
      <c r="B18" s="2" t="s">
        <v>66</v>
      </c>
      <c r="C18" s="3">
        <v>183</v>
      </c>
      <c r="D18" s="4">
        <v>75774875</v>
      </c>
      <c r="E18" s="5">
        <v>65.900000000000006</v>
      </c>
      <c r="F18" s="6">
        <v>6.7169999999999996</v>
      </c>
      <c r="G18" s="4">
        <v>65975225</v>
      </c>
      <c r="H18" s="7">
        <v>87.1</v>
      </c>
      <c r="R18" s="2" t="s">
        <v>67</v>
      </c>
      <c r="S18" s="4">
        <v>52553830</v>
      </c>
      <c r="T18" s="8">
        <v>13304580</v>
      </c>
      <c r="U18" s="7">
        <v>33.9</v>
      </c>
    </row>
    <row r="19" spans="1:21" x14ac:dyDescent="0.35">
      <c r="A19" s="9" t="s">
        <v>68</v>
      </c>
      <c r="B19" s="9" t="s">
        <v>69</v>
      </c>
      <c r="C19" s="10">
        <v>183</v>
      </c>
      <c r="D19" s="11">
        <v>54452516</v>
      </c>
      <c r="E19" s="12">
        <v>65.8</v>
      </c>
      <c r="F19" s="13">
        <v>6.6289999999999996</v>
      </c>
      <c r="G19" s="11">
        <v>46752791</v>
      </c>
      <c r="H19" s="7">
        <v>85.9</v>
      </c>
      <c r="R19" s="9" t="s">
        <v>70</v>
      </c>
      <c r="S19" s="11">
        <v>55637743</v>
      </c>
      <c r="T19" s="8">
        <v>3083913</v>
      </c>
      <c r="U19" s="7">
        <v>5.9</v>
      </c>
    </row>
    <row r="20" spans="1:21" x14ac:dyDescent="0.35">
      <c r="A20" s="2" t="s">
        <v>71</v>
      </c>
      <c r="B20" s="2" t="s">
        <v>66</v>
      </c>
      <c r="C20" s="3">
        <v>122</v>
      </c>
      <c r="D20" s="4">
        <v>53959457</v>
      </c>
      <c r="E20" s="5">
        <v>66.5</v>
      </c>
      <c r="F20" s="6">
        <v>6.6879999999999997</v>
      </c>
      <c r="G20" s="4">
        <v>46959707</v>
      </c>
      <c r="H20" s="7">
        <v>87</v>
      </c>
      <c r="R20" s="2" t="s">
        <v>72</v>
      </c>
      <c r="S20" s="4">
        <v>58516300</v>
      </c>
      <c r="T20" s="8">
        <v>2878557</v>
      </c>
      <c r="U20" s="7">
        <v>5.2</v>
      </c>
    </row>
    <row r="21" spans="1:21" x14ac:dyDescent="0.35">
      <c r="A21" s="9" t="s">
        <v>73</v>
      </c>
      <c r="B21" s="9" t="s">
        <v>63</v>
      </c>
      <c r="C21" s="10">
        <v>183</v>
      </c>
      <c r="D21" s="11">
        <v>52766607</v>
      </c>
      <c r="E21" s="12">
        <v>65.2</v>
      </c>
      <c r="F21" s="13">
        <v>6.4909999999999997</v>
      </c>
      <c r="G21" s="11">
        <v>43666932</v>
      </c>
      <c r="H21" s="7">
        <v>82.8</v>
      </c>
      <c r="R21" s="9" t="s">
        <v>74</v>
      </c>
      <c r="S21" s="11">
        <v>59574678</v>
      </c>
      <c r="T21" s="8">
        <v>1058377</v>
      </c>
      <c r="U21" s="7">
        <v>1.8</v>
      </c>
    </row>
    <row r="22" spans="1:21" x14ac:dyDescent="0.35">
      <c r="A22" s="2" t="s">
        <v>75</v>
      </c>
      <c r="B22" s="2" t="s">
        <v>63</v>
      </c>
      <c r="C22" s="3">
        <v>183</v>
      </c>
      <c r="D22" s="4">
        <v>52688048</v>
      </c>
      <c r="E22" s="5">
        <v>65.7</v>
      </c>
      <c r="F22" s="6">
        <v>6.4189999999999996</v>
      </c>
      <c r="G22" s="4">
        <v>43168388</v>
      </c>
      <c r="H22" s="7">
        <v>81.900000000000006</v>
      </c>
      <c r="R22" s="2" t="s">
        <v>76</v>
      </c>
      <c r="S22" s="4">
        <v>60426749</v>
      </c>
      <c r="T22" s="8">
        <v>852072</v>
      </c>
      <c r="U22" s="7">
        <v>1.4</v>
      </c>
    </row>
    <row r="23" spans="1:21" x14ac:dyDescent="0.35">
      <c r="A23" s="9" t="s">
        <v>77</v>
      </c>
      <c r="B23" s="9" t="s">
        <v>78</v>
      </c>
      <c r="C23" s="10">
        <v>122</v>
      </c>
      <c r="D23" s="11">
        <v>50693725</v>
      </c>
      <c r="E23" s="12">
        <v>67</v>
      </c>
      <c r="F23" s="13">
        <v>6.6349999999999998</v>
      </c>
      <c r="G23" s="11">
        <v>38094175</v>
      </c>
      <c r="H23" s="7">
        <v>75.099999999999994</v>
      </c>
      <c r="R23" s="9" t="s">
        <v>79</v>
      </c>
      <c r="S23" s="11">
        <v>54418135</v>
      </c>
      <c r="T23" s="14">
        <v>-6008615</v>
      </c>
      <c r="U23" s="15">
        <v>-9.9</v>
      </c>
    </row>
    <row r="24" spans="1:21" x14ac:dyDescent="0.35">
      <c r="A24" s="2" t="s">
        <v>80</v>
      </c>
      <c r="B24" s="2" t="s">
        <v>66</v>
      </c>
      <c r="C24" s="3">
        <v>366</v>
      </c>
      <c r="D24" s="4">
        <v>35894053</v>
      </c>
      <c r="E24" s="5">
        <v>66.2</v>
      </c>
      <c r="F24" s="6">
        <v>6.61</v>
      </c>
      <c r="G24" s="4">
        <v>27494353</v>
      </c>
      <c r="H24" s="7">
        <v>76.599999999999994</v>
      </c>
      <c r="R24" s="2" t="s">
        <v>81</v>
      </c>
      <c r="S24" s="4">
        <v>50229853</v>
      </c>
      <c r="T24" s="14">
        <v>-4188282</v>
      </c>
      <c r="U24" s="15">
        <v>-7.7</v>
      </c>
    </row>
    <row r="25" spans="1:21" x14ac:dyDescent="0.35">
      <c r="A25" s="9" t="s">
        <v>82</v>
      </c>
      <c r="B25" s="9" t="s">
        <v>83</v>
      </c>
      <c r="C25" s="10">
        <v>122</v>
      </c>
      <c r="D25" s="11">
        <v>34615356</v>
      </c>
      <c r="E25" s="12">
        <v>63.2</v>
      </c>
      <c r="F25" s="13">
        <v>6.5780000000000003</v>
      </c>
      <c r="G25" s="11">
        <v>22482456</v>
      </c>
      <c r="H25" s="7">
        <v>64.900000000000006</v>
      </c>
      <c r="R25" s="9" t="s">
        <v>84</v>
      </c>
      <c r="S25" s="11">
        <v>48382196</v>
      </c>
      <c r="T25" s="14">
        <v>-1847657</v>
      </c>
      <c r="U25" s="15">
        <v>-3.7</v>
      </c>
    </row>
    <row r="26" spans="1:21" ht="18" customHeight="1" x14ac:dyDescent="0.35">
      <c r="A26" s="16" t="s">
        <v>85</v>
      </c>
      <c r="B26" s="16" t="s">
        <v>86</v>
      </c>
      <c r="C26" s="16">
        <f>SUM(C16:C25)</f>
        <v>2013</v>
      </c>
      <c r="D26" s="17">
        <f>SUM(D16:D25)</f>
        <v>595456010</v>
      </c>
      <c r="E26" s="18">
        <f>AVERAGE(E16:E25)</f>
        <v>65.75</v>
      </c>
      <c r="F26" s="19">
        <f>AVERAGE(F16:F25)</f>
        <v>6.6071</v>
      </c>
      <c r="G26" s="17">
        <f>SUM(G16:G25)</f>
        <v>505345895</v>
      </c>
      <c r="H26" s="18">
        <f>AVERAGE(H16:H25)</f>
        <v>82.44</v>
      </c>
      <c r="R26" s="2" t="s">
        <v>87</v>
      </c>
      <c r="S26" s="4">
        <v>36885063</v>
      </c>
      <c r="T26" s="14">
        <v>-11497133</v>
      </c>
      <c r="U26" s="15">
        <v>-23.8</v>
      </c>
    </row>
    <row r="27" spans="1:21" x14ac:dyDescent="0.35">
      <c r="R27" s="9" t="s">
        <v>88</v>
      </c>
      <c r="S27" s="11">
        <v>36071634</v>
      </c>
      <c r="T27" s="14">
        <v>-813429</v>
      </c>
      <c r="U27" s="15">
        <v>-2.2000000000000002</v>
      </c>
    </row>
  </sheetData>
  <mergeCells count="54">
    <mergeCell ref="M12:P12"/>
    <mergeCell ref="U12:X12"/>
    <mergeCell ref="A7:C7"/>
    <mergeCell ref="G7:I7"/>
    <mergeCell ref="P6:R6"/>
    <mergeCell ref="A1:AB1"/>
    <mergeCell ref="U11:X11"/>
    <mergeCell ref="M10:P10"/>
    <mergeCell ref="E10:H10"/>
    <mergeCell ref="Y11:AB11"/>
    <mergeCell ref="Q10:T10"/>
    <mergeCell ref="J5:L5"/>
    <mergeCell ref="Y10:AB10"/>
    <mergeCell ref="V5:X5"/>
    <mergeCell ref="A6:C6"/>
    <mergeCell ref="M5:O5"/>
    <mergeCell ref="D6:F6"/>
    <mergeCell ref="E11:H11"/>
    <mergeCell ref="U10:X10"/>
    <mergeCell ref="A5:C5"/>
    <mergeCell ref="G5:I5"/>
    <mergeCell ref="E12:H12"/>
    <mergeCell ref="A9:AB9"/>
    <mergeCell ref="Q12:T12"/>
    <mergeCell ref="A11:D11"/>
    <mergeCell ref="V7:X7"/>
    <mergeCell ref="I11:L11"/>
    <mergeCell ref="S5:U5"/>
    <mergeCell ref="D5:F5"/>
    <mergeCell ref="P5:R5"/>
    <mergeCell ref="M11:P11"/>
    <mergeCell ref="A12:D12"/>
    <mergeCell ref="I12:L12"/>
    <mergeCell ref="Y7:AA7"/>
    <mergeCell ref="J7:L7"/>
    <mergeCell ref="P7:R7"/>
    <mergeCell ref="S6:U6"/>
    <mergeCell ref="Y6:AA6"/>
    <mergeCell ref="A2:AB2"/>
    <mergeCell ref="J6:L6"/>
    <mergeCell ref="S7:U7"/>
    <mergeCell ref="Y5:AA5"/>
    <mergeCell ref="R14:AB14"/>
    <mergeCell ref="A14:P14"/>
    <mergeCell ref="G6:I6"/>
    <mergeCell ref="Y12:AB12"/>
    <mergeCell ref="M7:O7"/>
    <mergeCell ref="Q11:T11"/>
    <mergeCell ref="I10:L10"/>
    <mergeCell ref="D7:F7"/>
    <mergeCell ref="A10:D10"/>
    <mergeCell ref="M6:O6"/>
    <mergeCell ref="A4:AB4"/>
    <mergeCell ref="V6:X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showGridLines="0" topLeftCell="A49" workbookViewId="0">
      <selection sqref="A1:U1"/>
    </sheetView>
  </sheetViews>
  <sheetFormatPr defaultRowHeight="14.5" x14ac:dyDescent="0.35"/>
  <cols>
    <col min="1" max="1" width="12" customWidth="1"/>
    <col min="2" max="2" width="15" customWidth="1"/>
    <col min="3" max="3" width="8" customWidth="1"/>
    <col min="4" max="4" width="7" customWidth="1"/>
    <col min="5" max="5" width="13" customWidth="1"/>
    <col min="6" max="7" width="9" customWidth="1"/>
    <col min="8" max="8" width="10" customWidth="1"/>
    <col min="9" max="9" width="9" customWidth="1"/>
    <col min="10" max="10" width="10" customWidth="1"/>
    <col min="11" max="11" width="12" customWidth="1"/>
    <col min="12" max="12" width="14" customWidth="1"/>
    <col min="13" max="13" width="7" customWidth="1"/>
    <col min="14" max="14" width="6" customWidth="1"/>
    <col min="15" max="21" width="10" customWidth="1"/>
  </cols>
  <sheetData>
    <row r="1" spans="1:21" ht="46" customHeight="1" x14ac:dyDescent="0.35">
      <c r="A1" s="76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8" customHeight="1" x14ac:dyDescent="0.35">
      <c r="A2" s="42" t="s">
        <v>90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20" customHeight="1" x14ac:dyDescent="0.35">
      <c r="A3" s="56" t="s">
        <v>91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17" customHeight="1" x14ac:dyDescent="0.35">
      <c r="A4" s="65" t="s">
        <v>92</v>
      </c>
      <c r="B4" s="43"/>
      <c r="C4" s="43"/>
      <c r="D4" s="74" t="s">
        <v>93</v>
      </c>
      <c r="E4" s="43"/>
      <c r="F4" s="43"/>
      <c r="G4" s="66" t="s">
        <v>94</v>
      </c>
      <c r="H4" s="43"/>
      <c r="I4" s="43"/>
      <c r="J4" s="82" t="s">
        <v>95</v>
      </c>
      <c r="K4" s="43"/>
      <c r="L4" s="43"/>
      <c r="M4" s="97" t="s">
        <v>96</v>
      </c>
      <c r="N4" s="43"/>
      <c r="O4" s="43"/>
      <c r="P4" s="66" t="s">
        <v>97</v>
      </c>
      <c r="Q4" s="43"/>
      <c r="R4" s="43"/>
      <c r="S4" s="98" t="s">
        <v>98</v>
      </c>
      <c r="T4" s="43"/>
      <c r="U4" s="43"/>
    </row>
    <row r="5" spans="1:21" ht="32" customHeight="1" x14ac:dyDescent="0.35">
      <c r="A5" s="86" t="s">
        <v>59</v>
      </c>
      <c r="B5" s="43"/>
      <c r="C5" s="43"/>
      <c r="D5" s="94" t="s">
        <v>82</v>
      </c>
      <c r="E5" s="43"/>
      <c r="F5" s="43"/>
      <c r="G5" s="48" t="s">
        <v>77</v>
      </c>
      <c r="H5" s="43"/>
      <c r="I5" s="43"/>
      <c r="J5" s="44" t="s">
        <v>99</v>
      </c>
      <c r="K5" s="43"/>
      <c r="L5" s="43"/>
      <c r="M5" s="99" t="s">
        <v>12</v>
      </c>
      <c r="N5" s="43"/>
      <c r="O5" s="43"/>
      <c r="P5" s="48" t="s">
        <v>100</v>
      </c>
      <c r="Q5" s="43"/>
      <c r="R5" s="43"/>
      <c r="S5" s="62" t="s">
        <v>20</v>
      </c>
      <c r="T5" s="43"/>
      <c r="U5" s="43"/>
    </row>
    <row r="6" spans="1:21" ht="15" customHeight="1" x14ac:dyDescent="0.35">
      <c r="A6" s="92" t="s">
        <v>101</v>
      </c>
      <c r="B6" s="43"/>
      <c r="C6" s="43"/>
      <c r="D6" s="60" t="s">
        <v>102</v>
      </c>
      <c r="E6" s="43"/>
      <c r="F6" s="43"/>
      <c r="G6" s="93" t="s">
        <v>103</v>
      </c>
      <c r="H6" s="43"/>
      <c r="I6" s="43"/>
      <c r="J6" s="59" t="s">
        <v>104</v>
      </c>
      <c r="K6" s="43"/>
      <c r="L6" s="43"/>
      <c r="M6" s="95" t="s">
        <v>105</v>
      </c>
      <c r="N6" s="43"/>
      <c r="O6" s="43"/>
      <c r="P6" s="93" t="s">
        <v>106</v>
      </c>
      <c r="Q6" s="43"/>
      <c r="R6" s="43"/>
      <c r="S6" s="96" t="s">
        <v>107</v>
      </c>
      <c r="T6" s="43"/>
      <c r="U6" s="43"/>
    </row>
    <row r="7" spans="1:21" ht="8" customHeight="1" x14ac:dyDescent="0.35"/>
    <row r="8" spans="1:21" ht="20" customHeight="1" x14ac:dyDescent="0.35">
      <c r="A8" s="47" t="s">
        <v>108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22" customHeight="1" x14ac:dyDescent="0.35">
      <c r="A9" s="1" t="s">
        <v>48</v>
      </c>
      <c r="B9" s="1" t="s">
        <v>49</v>
      </c>
      <c r="C9" s="1" t="s">
        <v>109</v>
      </c>
      <c r="D9" s="1" t="s">
        <v>50</v>
      </c>
      <c r="E9" s="1" t="s">
        <v>51</v>
      </c>
      <c r="F9" s="1" t="s">
        <v>110</v>
      </c>
      <c r="G9" s="1" t="s">
        <v>111</v>
      </c>
      <c r="H9" s="1" t="s">
        <v>52</v>
      </c>
      <c r="I9" s="1" t="s">
        <v>53</v>
      </c>
      <c r="J9" s="1" t="s">
        <v>112</v>
      </c>
      <c r="K9" s="1" t="s">
        <v>113</v>
      </c>
      <c r="L9" s="1" t="s">
        <v>54</v>
      </c>
      <c r="M9" s="1" t="s">
        <v>55</v>
      </c>
      <c r="N9" s="1" t="s">
        <v>114</v>
      </c>
    </row>
    <row r="10" spans="1:21" x14ac:dyDescent="0.35">
      <c r="A10" s="2" t="s">
        <v>59</v>
      </c>
      <c r="B10" s="2" t="s">
        <v>60</v>
      </c>
      <c r="C10" s="3">
        <v>500</v>
      </c>
      <c r="D10" s="3">
        <v>366</v>
      </c>
      <c r="E10" s="4">
        <v>108627038</v>
      </c>
      <c r="F10" s="5">
        <v>24956.6</v>
      </c>
      <c r="G10" s="5">
        <v>16565.900000000001</v>
      </c>
      <c r="H10" s="5">
        <v>66.400000000000006</v>
      </c>
      <c r="I10" s="6">
        <v>6.5570000000000004</v>
      </c>
      <c r="J10" s="20">
        <v>13.1145</v>
      </c>
      <c r="K10" s="4">
        <v>3359880</v>
      </c>
      <c r="L10" s="4">
        <v>105267158</v>
      </c>
      <c r="M10" s="7">
        <v>96.9</v>
      </c>
      <c r="N10" s="21">
        <v>1</v>
      </c>
    </row>
    <row r="11" spans="1:21" x14ac:dyDescent="0.35">
      <c r="A11" s="9" t="s">
        <v>62</v>
      </c>
      <c r="B11" s="9" t="s">
        <v>63</v>
      </c>
      <c r="C11" s="10">
        <v>5000</v>
      </c>
      <c r="D11" s="10">
        <v>183</v>
      </c>
      <c r="E11" s="11">
        <v>75984335</v>
      </c>
      <c r="F11" s="12">
        <v>17160.7</v>
      </c>
      <c r="G11" s="12">
        <v>11262.6</v>
      </c>
      <c r="H11" s="12">
        <v>65.599999999999994</v>
      </c>
      <c r="I11" s="13">
        <v>6.7469999999999999</v>
      </c>
      <c r="J11" s="22">
        <v>1.3492999999999999</v>
      </c>
      <c r="K11" s="11">
        <v>10499625</v>
      </c>
      <c r="L11" s="11">
        <v>65484710</v>
      </c>
      <c r="M11" s="7">
        <v>86.2</v>
      </c>
      <c r="N11" s="23">
        <v>2</v>
      </c>
    </row>
    <row r="12" spans="1:21" x14ac:dyDescent="0.35">
      <c r="A12" s="2" t="s">
        <v>65</v>
      </c>
      <c r="B12" s="2" t="s">
        <v>66</v>
      </c>
      <c r="C12" s="3">
        <v>5500</v>
      </c>
      <c r="D12" s="3">
        <v>183</v>
      </c>
      <c r="E12" s="4">
        <v>75774875</v>
      </c>
      <c r="F12" s="5">
        <v>17120.599999999999</v>
      </c>
      <c r="G12" s="5">
        <v>11280.8</v>
      </c>
      <c r="H12" s="5">
        <v>65.900000000000006</v>
      </c>
      <c r="I12" s="6">
        <v>6.7169999999999996</v>
      </c>
      <c r="J12" s="20">
        <v>1.2213000000000001</v>
      </c>
      <c r="K12" s="4">
        <v>9799650</v>
      </c>
      <c r="L12" s="4">
        <v>65975225</v>
      </c>
      <c r="M12" s="7">
        <v>87.1</v>
      </c>
      <c r="N12" s="21">
        <v>3</v>
      </c>
    </row>
    <row r="13" spans="1:21" x14ac:dyDescent="0.35">
      <c r="A13" s="9" t="s">
        <v>68</v>
      </c>
      <c r="B13" s="9" t="s">
        <v>69</v>
      </c>
      <c r="C13" s="10">
        <v>3000</v>
      </c>
      <c r="D13" s="10">
        <v>183</v>
      </c>
      <c r="E13" s="11">
        <v>54452516</v>
      </c>
      <c r="F13" s="12">
        <v>12480.3</v>
      </c>
      <c r="G13" s="12">
        <v>8214.2999999999993</v>
      </c>
      <c r="H13" s="12">
        <v>65.8</v>
      </c>
      <c r="I13" s="13">
        <v>6.6289999999999996</v>
      </c>
      <c r="J13" s="22">
        <v>2.2097000000000002</v>
      </c>
      <c r="K13" s="11">
        <v>7699725</v>
      </c>
      <c r="L13" s="11">
        <v>46752791</v>
      </c>
      <c r="M13" s="7">
        <v>85.9</v>
      </c>
      <c r="N13" s="24">
        <v>4</v>
      </c>
    </row>
    <row r="14" spans="1:21" x14ac:dyDescent="0.35">
      <c r="A14" s="2" t="s">
        <v>71</v>
      </c>
      <c r="B14" s="2" t="s">
        <v>66</v>
      </c>
      <c r="C14" s="3">
        <v>6000</v>
      </c>
      <c r="D14" s="3">
        <v>122</v>
      </c>
      <c r="E14" s="4">
        <v>53959457</v>
      </c>
      <c r="F14" s="5">
        <v>12140.8</v>
      </c>
      <c r="G14" s="5">
        <v>8068.5</v>
      </c>
      <c r="H14" s="5">
        <v>66.5</v>
      </c>
      <c r="I14" s="6">
        <v>6.6879999999999997</v>
      </c>
      <c r="J14" s="20">
        <v>1.1146</v>
      </c>
      <c r="K14" s="4">
        <v>6999750</v>
      </c>
      <c r="L14" s="4">
        <v>46959707</v>
      </c>
      <c r="M14" s="7">
        <v>87</v>
      </c>
      <c r="N14" s="25">
        <v>5</v>
      </c>
    </row>
    <row r="15" spans="1:21" x14ac:dyDescent="0.35">
      <c r="A15" s="9" t="s">
        <v>73</v>
      </c>
      <c r="B15" s="9" t="s">
        <v>63</v>
      </c>
      <c r="C15" s="10">
        <v>4500</v>
      </c>
      <c r="D15" s="10">
        <v>183</v>
      </c>
      <c r="E15" s="11">
        <v>52766607</v>
      </c>
      <c r="F15" s="12">
        <v>12473.8</v>
      </c>
      <c r="G15" s="12">
        <v>8129.8</v>
      </c>
      <c r="H15" s="12">
        <v>65.2</v>
      </c>
      <c r="I15" s="13">
        <v>6.4909999999999997</v>
      </c>
      <c r="J15" s="22">
        <v>1.4422999999999999</v>
      </c>
      <c r="K15" s="11">
        <v>9099675</v>
      </c>
      <c r="L15" s="11">
        <v>43666932</v>
      </c>
      <c r="M15" s="7">
        <v>82.8</v>
      </c>
      <c r="N15" s="24">
        <v>6</v>
      </c>
    </row>
    <row r="16" spans="1:21" x14ac:dyDescent="0.35">
      <c r="A16" s="2" t="s">
        <v>75</v>
      </c>
      <c r="B16" s="2" t="s">
        <v>63</v>
      </c>
      <c r="C16" s="3">
        <v>4800</v>
      </c>
      <c r="D16" s="3">
        <v>183</v>
      </c>
      <c r="E16" s="4">
        <v>52688048</v>
      </c>
      <c r="F16" s="5">
        <v>12488.9</v>
      </c>
      <c r="G16" s="5">
        <v>8208.2999999999993</v>
      </c>
      <c r="H16" s="5">
        <v>65.7</v>
      </c>
      <c r="I16" s="6">
        <v>6.4189999999999996</v>
      </c>
      <c r="J16" s="20">
        <v>1.3372999999999999</v>
      </c>
      <c r="K16" s="4">
        <v>9519660</v>
      </c>
      <c r="L16" s="4">
        <v>43168388</v>
      </c>
      <c r="M16" s="7">
        <v>81.900000000000006</v>
      </c>
      <c r="N16" s="25">
        <v>7</v>
      </c>
    </row>
    <row r="17" spans="1:21" x14ac:dyDescent="0.35">
      <c r="A17" s="9" t="s">
        <v>77</v>
      </c>
      <c r="B17" s="9" t="s">
        <v>78</v>
      </c>
      <c r="C17" s="10">
        <v>8500</v>
      </c>
      <c r="D17" s="10">
        <v>122</v>
      </c>
      <c r="E17" s="11">
        <v>50693725</v>
      </c>
      <c r="F17" s="12">
        <v>11400.6</v>
      </c>
      <c r="G17" s="12">
        <v>7640.7</v>
      </c>
      <c r="H17" s="12">
        <v>67</v>
      </c>
      <c r="I17" s="13">
        <v>6.6349999999999998</v>
      </c>
      <c r="J17" s="22">
        <v>0.78059999999999996</v>
      </c>
      <c r="K17" s="11">
        <v>12599550</v>
      </c>
      <c r="L17" s="11">
        <v>38094175</v>
      </c>
      <c r="M17" s="7">
        <v>75.099999999999994</v>
      </c>
      <c r="N17" s="26">
        <v>8</v>
      </c>
    </row>
    <row r="18" spans="1:21" x14ac:dyDescent="0.35">
      <c r="A18" s="2" t="s">
        <v>80</v>
      </c>
      <c r="B18" s="2" t="s">
        <v>66</v>
      </c>
      <c r="C18" s="3">
        <v>1800</v>
      </c>
      <c r="D18" s="3">
        <v>366</v>
      </c>
      <c r="E18" s="4">
        <v>35894053</v>
      </c>
      <c r="F18" s="5">
        <v>8206</v>
      </c>
      <c r="G18" s="5">
        <v>5430.5</v>
      </c>
      <c r="H18" s="5">
        <v>66.2</v>
      </c>
      <c r="I18" s="6">
        <v>6.61</v>
      </c>
      <c r="J18" s="20">
        <v>3.6720999999999999</v>
      </c>
      <c r="K18" s="4">
        <v>8399700</v>
      </c>
      <c r="L18" s="4">
        <v>27494353</v>
      </c>
      <c r="M18" s="7">
        <v>76.599999999999994</v>
      </c>
      <c r="N18" s="27">
        <v>9</v>
      </c>
    </row>
    <row r="19" spans="1:21" x14ac:dyDescent="0.35">
      <c r="A19" s="9" t="s">
        <v>82</v>
      </c>
      <c r="B19" s="9" t="s">
        <v>83</v>
      </c>
      <c r="C19" s="10">
        <v>9500</v>
      </c>
      <c r="D19" s="10">
        <v>122</v>
      </c>
      <c r="E19" s="11">
        <v>34615356</v>
      </c>
      <c r="F19" s="12">
        <v>8320.7999999999993</v>
      </c>
      <c r="G19" s="12">
        <v>5262.1</v>
      </c>
      <c r="H19" s="12">
        <v>63.2</v>
      </c>
      <c r="I19" s="13">
        <v>6.5780000000000003</v>
      </c>
      <c r="J19" s="22">
        <v>0.69240000000000002</v>
      </c>
      <c r="K19" s="11">
        <v>12132900</v>
      </c>
      <c r="L19" s="11">
        <v>22482456</v>
      </c>
      <c r="M19" s="7">
        <v>64.900000000000006</v>
      </c>
      <c r="N19" s="26">
        <v>10</v>
      </c>
    </row>
    <row r="20" spans="1:21" ht="18" customHeight="1" x14ac:dyDescent="0.35">
      <c r="A20" s="16" t="s">
        <v>115</v>
      </c>
      <c r="B20" s="16"/>
      <c r="C20" s="16"/>
      <c r="D20" s="16">
        <f>SUM(D10:D19)</f>
        <v>2013</v>
      </c>
      <c r="E20" s="17">
        <f>SUM(E10:E19)</f>
        <v>595456010</v>
      </c>
      <c r="F20" s="18">
        <f>SUM(F10:F19)</f>
        <v>136749.1</v>
      </c>
      <c r="G20" s="18">
        <f>SUM(G10:G19)</f>
        <v>90063.500000000015</v>
      </c>
      <c r="H20" s="18">
        <f>AVERAGE(H10:H19)</f>
        <v>65.75</v>
      </c>
      <c r="I20" s="19">
        <f>AVERAGE(I10:I19)</f>
        <v>6.6071</v>
      </c>
      <c r="J20" s="28">
        <f>AVERAGE(J10:J19)</f>
        <v>2.6934099999999996</v>
      </c>
      <c r="K20" s="17">
        <f>SUM(K10:K19)</f>
        <v>90110115</v>
      </c>
      <c r="L20" s="17">
        <f>SUM(L10:L19)</f>
        <v>505345895</v>
      </c>
      <c r="M20" s="18">
        <f>AVERAGE(M10:M19)</f>
        <v>82.44</v>
      </c>
      <c r="N20" s="16"/>
    </row>
    <row r="21" spans="1:21" ht="8" customHeight="1" x14ac:dyDescent="0.35"/>
    <row r="22" spans="1:21" ht="20" customHeight="1" x14ac:dyDescent="0.35">
      <c r="A22" s="47" t="s">
        <v>116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</sheetData>
  <mergeCells count="26">
    <mergeCell ref="A1:U1"/>
    <mergeCell ref="D6:F6"/>
    <mergeCell ref="P6:R6"/>
    <mergeCell ref="A8:U8"/>
    <mergeCell ref="A22:U22"/>
    <mergeCell ref="S5:U5"/>
    <mergeCell ref="D5:F5"/>
    <mergeCell ref="P5:R5"/>
    <mergeCell ref="J5:L5"/>
    <mergeCell ref="A6:C6"/>
    <mergeCell ref="M5:O5"/>
    <mergeCell ref="A2:U2"/>
    <mergeCell ref="A5:C5"/>
    <mergeCell ref="G5:I5"/>
    <mergeCell ref="D4:F4"/>
    <mergeCell ref="G4:I4"/>
    <mergeCell ref="A4:C4"/>
    <mergeCell ref="M4:O4"/>
    <mergeCell ref="S4:U4"/>
    <mergeCell ref="P4:R4"/>
    <mergeCell ref="J6:L6"/>
    <mergeCell ref="G6:I6"/>
    <mergeCell ref="J4:L4"/>
    <mergeCell ref="M6:O6"/>
    <mergeCell ref="A3:U3"/>
    <mergeCell ref="S6:U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sheetData>
    <row r="1" spans="1:3" x14ac:dyDescent="0.35">
      <c r="A1" t="s">
        <v>48</v>
      </c>
      <c r="B1" t="s">
        <v>117</v>
      </c>
      <c r="C1" t="s">
        <v>118</v>
      </c>
    </row>
    <row r="2" spans="1:3" x14ac:dyDescent="0.35">
      <c r="A2" t="s">
        <v>59</v>
      </c>
      <c r="B2">
        <v>108627038</v>
      </c>
      <c r="C2">
        <v>96.9</v>
      </c>
    </row>
    <row r="3" spans="1:3" x14ac:dyDescent="0.35">
      <c r="A3" t="s">
        <v>62</v>
      </c>
      <c r="B3">
        <v>75984335</v>
      </c>
      <c r="C3">
        <v>86.2</v>
      </c>
    </row>
    <row r="4" spans="1:3" x14ac:dyDescent="0.35">
      <c r="A4" t="s">
        <v>65</v>
      </c>
      <c r="B4">
        <v>75774875</v>
      </c>
      <c r="C4">
        <v>87.1</v>
      </c>
    </row>
    <row r="5" spans="1:3" x14ac:dyDescent="0.35">
      <c r="A5" t="s">
        <v>68</v>
      </c>
      <c r="B5">
        <v>54452516</v>
      </c>
      <c r="C5">
        <v>85.9</v>
      </c>
    </row>
    <row r="6" spans="1:3" x14ac:dyDescent="0.35">
      <c r="A6" t="s">
        <v>71</v>
      </c>
      <c r="B6">
        <v>53959457</v>
      </c>
      <c r="C6">
        <v>87</v>
      </c>
    </row>
    <row r="7" spans="1:3" x14ac:dyDescent="0.35">
      <c r="A7" t="s">
        <v>73</v>
      </c>
      <c r="B7">
        <v>52766607</v>
      </c>
      <c r="C7">
        <v>82.8</v>
      </c>
    </row>
    <row r="8" spans="1:3" x14ac:dyDescent="0.35">
      <c r="A8" t="s">
        <v>75</v>
      </c>
      <c r="B8">
        <v>52688048</v>
      </c>
      <c r="C8">
        <v>81.900000000000006</v>
      </c>
    </row>
    <row r="9" spans="1:3" x14ac:dyDescent="0.35">
      <c r="A9" t="s">
        <v>77</v>
      </c>
      <c r="B9">
        <v>50693725</v>
      </c>
      <c r="C9">
        <v>75.099999999999994</v>
      </c>
    </row>
    <row r="10" spans="1:3" x14ac:dyDescent="0.35">
      <c r="A10" t="s">
        <v>80</v>
      </c>
      <c r="B10">
        <v>35894053</v>
      </c>
      <c r="C10">
        <v>76.599999999999994</v>
      </c>
    </row>
    <row r="11" spans="1:3" x14ac:dyDescent="0.35">
      <c r="A11" t="s">
        <v>82</v>
      </c>
      <c r="B11">
        <v>34615356</v>
      </c>
      <c r="C11">
        <v>64.900000000000006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"/>
  <sheetViews>
    <sheetView showGridLines="0" topLeftCell="E40" workbookViewId="0">
      <selection sqref="A1:U1"/>
    </sheetView>
  </sheetViews>
  <sheetFormatPr defaultRowHeight="14.5" x14ac:dyDescent="0.35"/>
  <cols>
    <col min="1" max="1" width="13" customWidth="1"/>
    <col min="2" max="2" width="10" customWidth="1"/>
    <col min="3" max="3" width="12" customWidth="1"/>
    <col min="4" max="5" width="11" customWidth="1"/>
    <col min="6" max="7" width="9" customWidth="1"/>
    <col min="8" max="8" width="10" customWidth="1"/>
    <col min="9" max="9" width="11" customWidth="1"/>
    <col min="10" max="10" width="12" customWidth="1"/>
    <col min="11" max="21" width="10" customWidth="1"/>
  </cols>
  <sheetData>
    <row r="1" spans="1:21" ht="46" customHeight="1" x14ac:dyDescent="0.35">
      <c r="A1" s="76" t="s">
        <v>119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8" customHeight="1" x14ac:dyDescent="0.35">
      <c r="A2" s="42" t="s">
        <v>120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20" customHeight="1" x14ac:dyDescent="0.35">
      <c r="A3" s="56" t="s">
        <v>121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17" customHeight="1" x14ac:dyDescent="0.35">
      <c r="A4" s="65" t="s">
        <v>122</v>
      </c>
      <c r="B4" s="43"/>
      <c r="C4" s="43"/>
      <c r="D4" s="74" t="s">
        <v>123</v>
      </c>
      <c r="E4" s="43"/>
      <c r="F4" s="43"/>
      <c r="G4" s="72" t="s">
        <v>124</v>
      </c>
      <c r="H4" s="43"/>
      <c r="I4" s="43"/>
      <c r="J4" s="97" t="s">
        <v>125</v>
      </c>
      <c r="K4" s="43"/>
      <c r="L4" s="43"/>
      <c r="M4" s="66" t="s">
        <v>126</v>
      </c>
      <c r="N4" s="43"/>
      <c r="O4" s="43"/>
      <c r="P4" s="87" t="s">
        <v>127</v>
      </c>
      <c r="Q4" s="43"/>
      <c r="R4" s="43"/>
      <c r="S4" s="98" t="s">
        <v>128</v>
      </c>
      <c r="T4" s="43"/>
      <c r="U4" s="43"/>
    </row>
    <row r="5" spans="1:21" ht="32" customHeight="1" x14ac:dyDescent="0.35">
      <c r="A5" s="86" t="s">
        <v>13</v>
      </c>
      <c r="B5" s="43"/>
      <c r="C5" s="43"/>
      <c r="D5" s="94" t="s">
        <v>18</v>
      </c>
      <c r="E5" s="43"/>
      <c r="F5" s="43"/>
      <c r="G5" s="61" t="s">
        <v>129</v>
      </c>
      <c r="H5" s="43"/>
      <c r="I5" s="43"/>
      <c r="J5" s="99" t="s">
        <v>130</v>
      </c>
      <c r="K5" s="43"/>
      <c r="L5" s="43"/>
      <c r="M5" s="48" t="s">
        <v>131</v>
      </c>
      <c r="N5" s="43"/>
      <c r="O5" s="43"/>
      <c r="P5" s="55" t="s">
        <v>132</v>
      </c>
      <c r="Q5" s="43"/>
      <c r="R5" s="43"/>
      <c r="S5" s="62" t="s">
        <v>20</v>
      </c>
      <c r="T5" s="43"/>
      <c r="U5" s="43"/>
    </row>
    <row r="6" spans="1:21" ht="15" customHeight="1" x14ac:dyDescent="0.35">
      <c r="A6" s="92" t="s">
        <v>133</v>
      </c>
      <c r="B6" s="43"/>
      <c r="C6" s="43"/>
      <c r="D6" s="60" t="s">
        <v>134</v>
      </c>
      <c r="E6" s="43"/>
      <c r="F6" s="43"/>
      <c r="G6" s="45" t="s">
        <v>135</v>
      </c>
      <c r="H6" s="43"/>
      <c r="I6" s="43"/>
      <c r="J6" s="95" t="s">
        <v>136</v>
      </c>
      <c r="K6" s="43"/>
      <c r="L6" s="43"/>
      <c r="M6" s="93" t="s">
        <v>137</v>
      </c>
      <c r="N6" s="43"/>
      <c r="O6" s="43"/>
      <c r="P6" s="50" t="s">
        <v>138</v>
      </c>
      <c r="Q6" s="43"/>
      <c r="R6" s="43"/>
      <c r="S6" s="96" t="s">
        <v>139</v>
      </c>
      <c r="T6" s="43"/>
      <c r="U6" s="43"/>
    </row>
    <row r="7" spans="1:21" ht="8" customHeight="1" x14ac:dyDescent="0.35"/>
    <row r="8" spans="1:21" ht="20" customHeight="1" x14ac:dyDescent="0.35">
      <c r="A8" s="47" t="s">
        <v>140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22" customHeight="1" x14ac:dyDescent="0.35">
      <c r="A9" s="1" t="s">
        <v>48</v>
      </c>
      <c r="B9" s="1" t="s">
        <v>141</v>
      </c>
      <c r="C9" s="1" t="s">
        <v>142</v>
      </c>
      <c r="D9" s="1" t="s">
        <v>143</v>
      </c>
      <c r="E9" s="1" t="s">
        <v>144</v>
      </c>
      <c r="F9" s="1" t="s">
        <v>145</v>
      </c>
      <c r="G9" s="1" t="s">
        <v>146</v>
      </c>
      <c r="H9" s="1" t="s">
        <v>147</v>
      </c>
      <c r="I9" s="1" t="s">
        <v>148</v>
      </c>
      <c r="J9" s="1" t="s">
        <v>149</v>
      </c>
    </row>
    <row r="10" spans="1:21" x14ac:dyDescent="0.35">
      <c r="A10" s="2" t="s">
        <v>77</v>
      </c>
      <c r="B10" s="7">
        <v>67</v>
      </c>
      <c r="C10" s="5">
        <v>11400.6</v>
      </c>
      <c r="D10" s="5">
        <v>7640.7</v>
      </c>
      <c r="E10" s="5">
        <v>10481.299999999999</v>
      </c>
      <c r="F10" s="5">
        <v>575.20000000000005</v>
      </c>
      <c r="G10" s="3">
        <v>0</v>
      </c>
      <c r="H10" s="3">
        <v>55</v>
      </c>
      <c r="I10" s="3">
        <v>67</v>
      </c>
      <c r="J10" s="2" t="s">
        <v>150</v>
      </c>
    </row>
    <row r="11" spans="1:21" x14ac:dyDescent="0.35">
      <c r="A11" s="9" t="s">
        <v>71</v>
      </c>
      <c r="B11" s="7">
        <v>66.5</v>
      </c>
      <c r="C11" s="12">
        <v>12140.8</v>
      </c>
      <c r="D11" s="12">
        <v>8068.4</v>
      </c>
      <c r="E11" s="12">
        <v>11168.5</v>
      </c>
      <c r="F11" s="12">
        <v>554.5</v>
      </c>
      <c r="G11" s="10">
        <v>0</v>
      </c>
      <c r="H11" s="10">
        <v>52</v>
      </c>
      <c r="I11" s="10">
        <v>70</v>
      </c>
      <c r="J11" s="9" t="s">
        <v>150</v>
      </c>
    </row>
    <row r="12" spans="1:21" x14ac:dyDescent="0.35">
      <c r="A12" s="2" t="s">
        <v>59</v>
      </c>
      <c r="B12" s="7">
        <v>66.400000000000006</v>
      </c>
      <c r="C12" s="5">
        <v>24956.6</v>
      </c>
      <c r="D12" s="5">
        <v>16565.900000000001</v>
      </c>
      <c r="E12" s="5">
        <v>23159.1</v>
      </c>
      <c r="F12" s="5">
        <v>1234.9000000000001</v>
      </c>
      <c r="G12" s="3">
        <v>0</v>
      </c>
      <c r="H12" s="3">
        <v>167</v>
      </c>
      <c r="I12" s="3">
        <v>199</v>
      </c>
      <c r="J12" s="2" t="s">
        <v>150</v>
      </c>
    </row>
    <row r="13" spans="1:21" x14ac:dyDescent="0.35">
      <c r="A13" s="9" t="s">
        <v>80</v>
      </c>
      <c r="B13" s="7">
        <v>66.2</v>
      </c>
      <c r="C13" s="12">
        <v>8206</v>
      </c>
      <c r="D13" s="12">
        <v>5430.6</v>
      </c>
      <c r="E13" s="12">
        <v>7605.4</v>
      </c>
      <c r="F13" s="12">
        <v>420.4</v>
      </c>
      <c r="G13" s="10">
        <v>0</v>
      </c>
      <c r="H13" s="10">
        <v>168</v>
      </c>
      <c r="I13" s="10">
        <v>198</v>
      </c>
      <c r="J13" s="9" t="s">
        <v>150</v>
      </c>
    </row>
    <row r="14" spans="1:21" x14ac:dyDescent="0.35">
      <c r="A14" s="2" t="s">
        <v>65</v>
      </c>
      <c r="B14" s="7">
        <v>65.900000000000006</v>
      </c>
      <c r="C14" s="5">
        <v>17120.599999999999</v>
      </c>
      <c r="D14" s="5">
        <v>11280.8</v>
      </c>
      <c r="E14" s="5">
        <v>15877.5</v>
      </c>
      <c r="F14" s="5">
        <v>846</v>
      </c>
      <c r="G14" s="3">
        <v>0</v>
      </c>
      <c r="H14" s="3">
        <v>89</v>
      </c>
      <c r="I14" s="3">
        <v>94</v>
      </c>
      <c r="J14" s="2" t="s">
        <v>150</v>
      </c>
    </row>
    <row r="15" spans="1:21" x14ac:dyDescent="0.35">
      <c r="A15" s="9" t="s">
        <v>68</v>
      </c>
      <c r="B15" s="7">
        <v>65.8</v>
      </c>
      <c r="C15" s="12">
        <v>12480.3</v>
      </c>
      <c r="D15" s="12">
        <v>8214.2999999999993</v>
      </c>
      <c r="E15" s="12">
        <v>11718.5</v>
      </c>
      <c r="F15" s="12">
        <v>716.3</v>
      </c>
      <c r="G15" s="10">
        <v>0</v>
      </c>
      <c r="H15" s="10">
        <v>87</v>
      </c>
      <c r="I15" s="10">
        <v>96</v>
      </c>
      <c r="J15" s="9" t="s">
        <v>150</v>
      </c>
    </row>
    <row r="16" spans="1:21" x14ac:dyDescent="0.35">
      <c r="A16" s="2" t="s">
        <v>75</v>
      </c>
      <c r="B16" s="7">
        <v>65.7</v>
      </c>
      <c r="C16" s="5">
        <v>12488.9</v>
      </c>
      <c r="D16" s="5">
        <v>8208.4</v>
      </c>
      <c r="E16" s="5">
        <v>11502.6</v>
      </c>
      <c r="F16" s="5">
        <v>637.4</v>
      </c>
      <c r="G16" s="3">
        <v>0</v>
      </c>
      <c r="H16" s="3">
        <v>86</v>
      </c>
      <c r="I16" s="3">
        <v>97</v>
      </c>
      <c r="J16" s="2" t="s">
        <v>150</v>
      </c>
    </row>
    <row r="17" spans="1:21" x14ac:dyDescent="0.35">
      <c r="A17" s="9" t="s">
        <v>62</v>
      </c>
      <c r="B17" s="7">
        <v>65.599999999999994</v>
      </c>
      <c r="C17" s="12">
        <v>17160.7</v>
      </c>
      <c r="D17" s="12">
        <v>11262.7</v>
      </c>
      <c r="E17" s="12">
        <v>16014.4</v>
      </c>
      <c r="F17" s="12">
        <v>863.3</v>
      </c>
      <c r="G17" s="10">
        <v>0</v>
      </c>
      <c r="H17" s="10">
        <v>87</v>
      </c>
      <c r="I17" s="10">
        <v>96</v>
      </c>
      <c r="J17" s="9" t="s">
        <v>150</v>
      </c>
    </row>
    <row r="18" spans="1:21" x14ac:dyDescent="0.35">
      <c r="A18" s="2" t="s">
        <v>73</v>
      </c>
      <c r="B18" s="7">
        <v>65.2</v>
      </c>
      <c r="C18" s="5">
        <v>12473.8</v>
      </c>
      <c r="D18" s="5">
        <v>8129.8</v>
      </c>
      <c r="E18" s="5">
        <v>11474.4</v>
      </c>
      <c r="F18" s="5">
        <v>592.9</v>
      </c>
      <c r="G18" s="3">
        <v>0</v>
      </c>
      <c r="H18" s="3">
        <v>90</v>
      </c>
      <c r="I18" s="3">
        <v>93</v>
      </c>
      <c r="J18" s="2" t="s">
        <v>150</v>
      </c>
    </row>
    <row r="19" spans="1:21" x14ac:dyDescent="0.35">
      <c r="A19" s="9" t="s">
        <v>82</v>
      </c>
      <c r="B19" s="15">
        <v>63.2</v>
      </c>
      <c r="C19" s="12">
        <v>8320.7999999999993</v>
      </c>
      <c r="D19" s="12">
        <v>5262.1</v>
      </c>
      <c r="E19" s="12">
        <v>7696.4</v>
      </c>
      <c r="F19" s="12">
        <v>472.4</v>
      </c>
      <c r="G19" s="10">
        <v>0</v>
      </c>
      <c r="H19" s="10">
        <v>65</v>
      </c>
      <c r="I19" s="10">
        <v>57</v>
      </c>
      <c r="J19" s="9" t="s">
        <v>151</v>
      </c>
    </row>
    <row r="20" spans="1:21" ht="8" customHeight="1" x14ac:dyDescent="0.35"/>
    <row r="21" spans="1:21" ht="20" customHeight="1" x14ac:dyDescent="0.35">
      <c r="A21" s="47" t="s">
        <v>152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</sheetData>
  <mergeCells count="26">
    <mergeCell ref="A1:U1"/>
    <mergeCell ref="D6:F6"/>
    <mergeCell ref="P6:R6"/>
    <mergeCell ref="A21:U21"/>
    <mergeCell ref="A2:U2"/>
    <mergeCell ref="A5:C5"/>
    <mergeCell ref="G5:I5"/>
    <mergeCell ref="D4:F4"/>
    <mergeCell ref="G4:I4"/>
    <mergeCell ref="A4:C4"/>
    <mergeCell ref="A8:U8"/>
    <mergeCell ref="S5:U5"/>
    <mergeCell ref="D5:F5"/>
    <mergeCell ref="P5:R5"/>
    <mergeCell ref="M4:O4"/>
    <mergeCell ref="S4:U4"/>
    <mergeCell ref="P4:R4"/>
    <mergeCell ref="J5:L5"/>
    <mergeCell ref="A6:C6"/>
    <mergeCell ref="J6:L6"/>
    <mergeCell ref="G6:I6"/>
    <mergeCell ref="J4:L4"/>
    <mergeCell ref="M6:O6"/>
    <mergeCell ref="A3:U3"/>
    <mergeCell ref="S6:U6"/>
    <mergeCell ref="M5:O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5" x14ac:dyDescent="0.35"/>
  <sheetData>
    <row r="1" spans="1:5" x14ac:dyDescent="0.35">
      <c r="A1" t="s">
        <v>48</v>
      </c>
      <c r="B1" t="s">
        <v>141</v>
      </c>
      <c r="D1" t="s">
        <v>153</v>
      </c>
      <c r="E1" t="s">
        <v>50</v>
      </c>
    </row>
    <row r="2" spans="1:5" x14ac:dyDescent="0.35">
      <c r="A2" t="s">
        <v>77</v>
      </c>
      <c r="B2">
        <v>67</v>
      </c>
      <c r="D2" t="s">
        <v>154</v>
      </c>
      <c r="E2">
        <v>0</v>
      </c>
    </row>
    <row r="3" spans="1:5" x14ac:dyDescent="0.35">
      <c r="A3" t="s">
        <v>71</v>
      </c>
      <c r="B3">
        <v>66.5</v>
      </c>
      <c r="D3" t="s">
        <v>155</v>
      </c>
      <c r="E3">
        <v>946</v>
      </c>
    </row>
    <row r="4" spans="1:5" x14ac:dyDescent="0.35">
      <c r="A4" t="s">
        <v>59</v>
      </c>
      <c r="B4">
        <v>66.400000000000006</v>
      </c>
      <c r="D4" t="s">
        <v>156</v>
      </c>
      <c r="E4">
        <v>1067</v>
      </c>
    </row>
    <row r="5" spans="1:5" x14ac:dyDescent="0.35">
      <c r="A5" t="s">
        <v>80</v>
      </c>
      <c r="B5">
        <v>66.2</v>
      </c>
    </row>
    <row r="6" spans="1:5" x14ac:dyDescent="0.35">
      <c r="A6" t="s">
        <v>65</v>
      </c>
      <c r="B6">
        <v>65.900000000000006</v>
      </c>
    </row>
    <row r="7" spans="1:5" x14ac:dyDescent="0.35">
      <c r="A7" t="s">
        <v>68</v>
      </c>
      <c r="B7">
        <v>65.8</v>
      </c>
    </row>
    <row r="8" spans="1:5" x14ac:dyDescent="0.35">
      <c r="A8" t="s">
        <v>75</v>
      </c>
      <c r="B8">
        <v>65.7</v>
      </c>
    </row>
    <row r="9" spans="1:5" x14ac:dyDescent="0.35">
      <c r="A9" t="s">
        <v>62</v>
      </c>
      <c r="B9">
        <v>65.599999999999994</v>
      </c>
    </row>
    <row r="10" spans="1:5" x14ac:dyDescent="0.35">
      <c r="A10" t="s">
        <v>73</v>
      </c>
      <c r="B10">
        <v>65.2</v>
      </c>
    </row>
    <row r="11" spans="1:5" x14ac:dyDescent="0.35">
      <c r="A11" t="s">
        <v>82</v>
      </c>
      <c r="B11">
        <v>63.2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6"/>
  <sheetViews>
    <sheetView showGridLines="0" topLeftCell="A37" workbookViewId="0">
      <selection sqref="A1:U1"/>
    </sheetView>
  </sheetViews>
  <sheetFormatPr defaultRowHeight="14.5" x14ac:dyDescent="0.35"/>
  <cols>
    <col min="1" max="1" width="7" customWidth="1"/>
    <col min="2" max="2" width="10" customWidth="1"/>
    <col min="3" max="3" width="12" customWidth="1"/>
    <col min="4" max="4" width="13" customWidth="1"/>
    <col min="5" max="6" width="12" customWidth="1"/>
    <col min="7" max="11" width="10" customWidth="1"/>
    <col min="12" max="12" width="17" customWidth="1"/>
    <col min="13" max="13" width="10" customWidth="1"/>
    <col min="14" max="14" width="13" customWidth="1"/>
    <col min="15" max="16" width="12" customWidth="1"/>
    <col min="17" max="21" width="10" customWidth="1"/>
  </cols>
  <sheetData>
    <row r="1" spans="1:21" ht="46" customHeight="1" x14ac:dyDescent="0.35">
      <c r="A1" s="76" t="s">
        <v>157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8" customHeight="1" x14ac:dyDescent="0.35">
      <c r="A2" s="42" t="s">
        <v>158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20" customHeight="1" x14ac:dyDescent="0.35">
      <c r="A3" s="56" t="s">
        <v>159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17" customHeight="1" x14ac:dyDescent="0.35">
      <c r="A4" s="82" t="s">
        <v>160</v>
      </c>
      <c r="B4" s="43"/>
      <c r="C4" s="43"/>
      <c r="D4" s="87" t="s">
        <v>161</v>
      </c>
      <c r="E4" s="43"/>
      <c r="F4" s="43"/>
      <c r="G4" s="65" t="s">
        <v>162</v>
      </c>
      <c r="H4" s="43"/>
      <c r="I4" s="43"/>
      <c r="J4" s="97" t="s">
        <v>163</v>
      </c>
      <c r="K4" s="43"/>
      <c r="L4" s="43"/>
      <c r="M4" s="82" t="s">
        <v>164</v>
      </c>
      <c r="N4" s="43"/>
      <c r="O4" s="43"/>
      <c r="P4" s="66" t="s">
        <v>165</v>
      </c>
      <c r="Q4" s="43"/>
      <c r="R4" s="43"/>
      <c r="S4" s="98" t="s">
        <v>166</v>
      </c>
      <c r="T4" s="43"/>
      <c r="U4" s="43"/>
    </row>
    <row r="5" spans="1:21" ht="32" customHeight="1" x14ac:dyDescent="0.35">
      <c r="A5" s="44" t="s">
        <v>167</v>
      </c>
      <c r="B5" s="43"/>
      <c r="C5" s="43"/>
      <c r="D5" s="55" t="s">
        <v>168</v>
      </c>
      <c r="E5" s="43"/>
      <c r="F5" s="43"/>
      <c r="G5" s="86" t="s">
        <v>169</v>
      </c>
      <c r="H5" s="43"/>
      <c r="I5" s="43"/>
      <c r="J5" s="99" t="s">
        <v>170</v>
      </c>
      <c r="K5" s="43"/>
      <c r="L5" s="43"/>
      <c r="M5" s="44" t="s">
        <v>171</v>
      </c>
      <c r="N5" s="43"/>
      <c r="O5" s="43"/>
      <c r="P5" s="48" t="s">
        <v>172</v>
      </c>
      <c r="Q5" s="43"/>
      <c r="R5" s="43"/>
      <c r="S5" s="62" t="s">
        <v>173</v>
      </c>
      <c r="T5" s="43"/>
      <c r="U5" s="43"/>
    </row>
    <row r="6" spans="1:21" ht="15" customHeight="1" x14ac:dyDescent="0.35">
      <c r="A6" s="59" t="s">
        <v>174</v>
      </c>
      <c r="B6" s="43"/>
      <c r="C6" s="43"/>
      <c r="D6" s="50" t="s">
        <v>175</v>
      </c>
      <c r="E6" s="43"/>
      <c r="F6" s="43"/>
      <c r="G6" s="92" t="s">
        <v>176</v>
      </c>
      <c r="H6" s="43"/>
      <c r="I6" s="43"/>
      <c r="J6" s="95" t="s">
        <v>177</v>
      </c>
      <c r="K6" s="43"/>
      <c r="L6" s="43"/>
      <c r="M6" s="59" t="s">
        <v>178</v>
      </c>
      <c r="N6" s="43"/>
      <c r="O6" s="43"/>
      <c r="P6" s="93" t="s">
        <v>179</v>
      </c>
      <c r="Q6" s="43"/>
      <c r="R6" s="43"/>
      <c r="S6" s="96" t="s">
        <v>180</v>
      </c>
      <c r="T6" s="43"/>
      <c r="U6" s="43"/>
    </row>
    <row r="7" spans="1:21" ht="8" customHeight="1" x14ac:dyDescent="0.35"/>
    <row r="8" spans="1:21" ht="20" customHeight="1" x14ac:dyDescent="0.35">
      <c r="A8" s="47" t="s">
        <v>181</v>
      </c>
      <c r="B8" s="43"/>
      <c r="C8" s="43"/>
      <c r="D8" s="43"/>
      <c r="E8" s="43"/>
      <c r="F8" s="43"/>
      <c r="G8" s="43"/>
      <c r="H8" s="43"/>
      <c r="I8" s="43"/>
      <c r="J8" s="43"/>
      <c r="L8" s="47" t="s">
        <v>182</v>
      </c>
      <c r="M8" s="43"/>
      <c r="N8" s="43"/>
      <c r="O8" s="43"/>
      <c r="P8" s="43"/>
      <c r="Q8" s="43"/>
      <c r="R8" s="43"/>
      <c r="S8" s="43"/>
      <c r="T8" s="43"/>
      <c r="U8" s="43"/>
    </row>
    <row r="9" spans="1:21" ht="22" customHeight="1" x14ac:dyDescent="0.35">
      <c r="A9" s="1" t="s">
        <v>183</v>
      </c>
      <c r="B9" s="1" t="s">
        <v>184</v>
      </c>
      <c r="C9" s="1" t="s">
        <v>185</v>
      </c>
      <c r="D9" s="1" t="s">
        <v>51</v>
      </c>
      <c r="E9" s="1" t="s">
        <v>186</v>
      </c>
      <c r="F9" s="1" t="s">
        <v>187</v>
      </c>
      <c r="L9" s="1" t="s">
        <v>188</v>
      </c>
      <c r="M9" s="1" t="s">
        <v>184</v>
      </c>
      <c r="N9" s="1" t="s">
        <v>51</v>
      </c>
      <c r="O9" s="1" t="s">
        <v>186</v>
      </c>
      <c r="P9" s="1" t="s">
        <v>187</v>
      </c>
    </row>
    <row r="10" spans="1:21" x14ac:dyDescent="0.35">
      <c r="A10" s="2" t="s">
        <v>189</v>
      </c>
      <c r="B10" s="3">
        <v>8521</v>
      </c>
      <c r="C10" s="4">
        <v>26622599</v>
      </c>
      <c r="D10" s="4">
        <v>159726768</v>
      </c>
      <c r="E10" s="6">
        <v>6.0140000000000002</v>
      </c>
      <c r="F10" s="5">
        <v>26.8</v>
      </c>
      <c r="L10" s="2" t="s">
        <v>190</v>
      </c>
      <c r="M10" s="3">
        <v>3628</v>
      </c>
      <c r="N10" s="4">
        <v>120851017</v>
      </c>
      <c r="O10" s="6">
        <v>10.685</v>
      </c>
      <c r="P10" s="5">
        <v>20.3</v>
      </c>
    </row>
    <row r="11" spans="1:21" x14ac:dyDescent="0.35">
      <c r="A11" s="9" t="s">
        <v>191</v>
      </c>
      <c r="B11" s="10">
        <v>5765</v>
      </c>
      <c r="C11" s="11">
        <v>18603781</v>
      </c>
      <c r="D11" s="11">
        <v>144962989</v>
      </c>
      <c r="E11" s="13">
        <v>7.9059999999999997</v>
      </c>
      <c r="F11" s="12">
        <v>24.3</v>
      </c>
      <c r="L11" s="9" t="s">
        <v>192</v>
      </c>
      <c r="M11" s="10">
        <v>3606</v>
      </c>
      <c r="N11" s="11">
        <v>111892291</v>
      </c>
      <c r="O11" s="13">
        <v>9.5090000000000003</v>
      </c>
      <c r="P11" s="12">
        <v>18.8</v>
      </c>
    </row>
    <row r="12" spans="1:21" x14ac:dyDescent="0.35">
      <c r="A12" s="2" t="s">
        <v>193</v>
      </c>
      <c r="B12" s="3">
        <v>2842</v>
      </c>
      <c r="C12" s="4">
        <v>9571707</v>
      </c>
      <c r="D12" s="4">
        <v>100060405</v>
      </c>
      <c r="E12" s="6">
        <v>10.275</v>
      </c>
      <c r="F12" s="5">
        <v>16.8</v>
      </c>
      <c r="L12" s="2" t="s">
        <v>194</v>
      </c>
      <c r="M12" s="3">
        <v>3602</v>
      </c>
      <c r="N12" s="4">
        <v>84657326</v>
      </c>
      <c r="O12" s="6">
        <v>7.6529999999999996</v>
      </c>
      <c r="P12" s="5">
        <v>14.2</v>
      </c>
    </row>
    <row r="13" spans="1:21" x14ac:dyDescent="0.35">
      <c r="A13" s="9" t="s">
        <v>195</v>
      </c>
      <c r="B13" s="10">
        <v>6945</v>
      </c>
      <c r="C13" s="11">
        <v>21593809</v>
      </c>
      <c r="D13" s="11">
        <v>99117336</v>
      </c>
      <c r="E13" s="13">
        <v>4.5709999999999997</v>
      </c>
      <c r="F13" s="12">
        <v>16.600000000000001</v>
      </c>
      <c r="L13" s="9" t="s">
        <v>196</v>
      </c>
      <c r="M13" s="10">
        <v>3499</v>
      </c>
      <c r="N13" s="11">
        <v>72508569</v>
      </c>
      <c r="O13" s="13">
        <v>6.4539999999999997</v>
      </c>
      <c r="P13" s="12">
        <v>12.2</v>
      </c>
    </row>
    <row r="14" spans="1:21" x14ac:dyDescent="0.35">
      <c r="A14" s="2" t="s">
        <v>197</v>
      </c>
      <c r="B14" s="3">
        <v>1454</v>
      </c>
      <c r="C14" s="4">
        <v>4655487</v>
      </c>
      <c r="D14" s="4">
        <v>60964813</v>
      </c>
      <c r="E14" s="6">
        <v>13.301</v>
      </c>
      <c r="F14" s="5">
        <v>10.199999999999999</v>
      </c>
      <c r="L14" s="2" t="s">
        <v>198</v>
      </c>
      <c r="M14" s="3">
        <v>3461</v>
      </c>
      <c r="N14" s="4">
        <v>63004284</v>
      </c>
      <c r="O14" s="6">
        <v>5.5439999999999996</v>
      </c>
      <c r="P14" s="5">
        <v>10.6</v>
      </c>
    </row>
    <row r="15" spans="1:21" x14ac:dyDescent="0.35">
      <c r="A15" s="9" t="s">
        <v>199</v>
      </c>
      <c r="B15" s="10">
        <v>2842</v>
      </c>
      <c r="C15" s="11">
        <v>9016132</v>
      </c>
      <c r="D15" s="11">
        <v>30623700</v>
      </c>
      <c r="E15" s="13">
        <v>3.4119999999999999</v>
      </c>
      <c r="F15" s="12">
        <v>5.0999999999999996</v>
      </c>
      <c r="L15" s="9" t="s">
        <v>200</v>
      </c>
      <c r="M15" s="10">
        <v>3514</v>
      </c>
      <c r="N15" s="11">
        <v>53101370</v>
      </c>
      <c r="O15" s="13">
        <v>4.6829999999999998</v>
      </c>
      <c r="P15" s="12">
        <v>8.9</v>
      </c>
    </row>
    <row r="16" spans="1:21" x14ac:dyDescent="0.35">
      <c r="L16" s="2" t="s">
        <v>201</v>
      </c>
      <c r="M16" s="3">
        <v>3461</v>
      </c>
      <c r="N16" s="4">
        <v>47158738</v>
      </c>
      <c r="O16" s="6">
        <v>4.3090000000000002</v>
      </c>
      <c r="P16" s="5">
        <v>7.9</v>
      </c>
    </row>
    <row r="17" spans="1:21" x14ac:dyDescent="0.35">
      <c r="L17" s="9" t="s">
        <v>202</v>
      </c>
      <c r="M17" s="10">
        <v>3598</v>
      </c>
      <c r="N17" s="11">
        <v>42282415</v>
      </c>
      <c r="O17" s="13">
        <v>3.6269999999999998</v>
      </c>
      <c r="P17" s="12">
        <v>7.1</v>
      </c>
    </row>
    <row r="18" spans="1:21" ht="8" customHeight="1" x14ac:dyDescent="0.35"/>
    <row r="19" spans="1:21" ht="20" customHeight="1" x14ac:dyDescent="0.35">
      <c r="A19" s="47" t="s">
        <v>203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 ht="22" customHeight="1" x14ac:dyDescent="0.35">
      <c r="A20" s="1" t="s">
        <v>204</v>
      </c>
      <c r="B20" s="1" t="s">
        <v>184</v>
      </c>
      <c r="C20" s="1" t="s">
        <v>51</v>
      </c>
      <c r="D20" s="1" t="s">
        <v>186</v>
      </c>
      <c r="E20" s="1" t="s">
        <v>185</v>
      </c>
      <c r="F20" s="1" t="s">
        <v>187</v>
      </c>
    </row>
    <row r="21" spans="1:21" x14ac:dyDescent="0.35">
      <c r="A21" s="29" t="s">
        <v>205</v>
      </c>
      <c r="B21" s="10">
        <v>7977</v>
      </c>
      <c r="C21" s="11">
        <v>165328445</v>
      </c>
      <c r="D21" s="13">
        <v>6.5259999999999998</v>
      </c>
      <c r="E21" s="11">
        <v>25417748</v>
      </c>
      <c r="F21" s="12">
        <v>27.8</v>
      </c>
    </row>
    <row r="22" spans="1:21" x14ac:dyDescent="0.35">
      <c r="A22" s="30" t="s">
        <v>206</v>
      </c>
      <c r="B22" s="10">
        <v>7703</v>
      </c>
      <c r="C22" s="11">
        <v>165190366</v>
      </c>
      <c r="D22" s="13">
        <v>6.6280000000000001</v>
      </c>
      <c r="E22" s="11">
        <v>24700344</v>
      </c>
      <c r="F22" s="12">
        <v>27.7</v>
      </c>
    </row>
    <row r="23" spans="1:21" x14ac:dyDescent="0.35">
      <c r="A23" s="31" t="s">
        <v>207</v>
      </c>
      <c r="B23" s="10">
        <v>6872</v>
      </c>
      <c r="C23" s="11">
        <v>143090800</v>
      </c>
      <c r="D23" s="13">
        <v>6.5819999999999999</v>
      </c>
      <c r="E23" s="11">
        <v>21634372</v>
      </c>
      <c r="F23" s="12">
        <v>24</v>
      </c>
    </row>
    <row r="24" spans="1:21" x14ac:dyDescent="0.35">
      <c r="A24" s="32" t="s">
        <v>208</v>
      </c>
      <c r="B24" s="10">
        <v>5817</v>
      </c>
      <c r="C24" s="11">
        <v>121846398</v>
      </c>
      <c r="D24" s="13">
        <v>6.6120000000000001</v>
      </c>
      <c r="E24" s="11">
        <v>18311051</v>
      </c>
      <c r="F24" s="12">
        <v>20.5</v>
      </c>
    </row>
    <row r="25" spans="1:21" ht="8" customHeight="1" x14ac:dyDescent="0.35"/>
    <row r="26" spans="1:21" ht="20" customHeight="1" x14ac:dyDescent="0.35">
      <c r="A26" s="47" t="s">
        <v>209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</sheetData>
  <mergeCells count="28">
    <mergeCell ref="A1:U1"/>
    <mergeCell ref="D6:F6"/>
    <mergeCell ref="P6:R6"/>
    <mergeCell ref="A3:U3"/>
    <mergeCell ref="S6:U6"/>
    <mergeCell ref="A26:U26"/>
    <mergeCell ref="A2:U2"/>
    <mergeCell ref="A5:C5"/>
    <mergeCell ref="G5:I5"/>
    <mergeCell ref="D4:F4"/>
    <mergeCell ref="G4:I4"/>
    <mergeCell ref="A4:C4"/>
    <mergeCell ref="S5:U5"/>
    <mergeCell ref="D5:F5"/>
    <mergeCell ref="P5:R5"/>
    <mergeCell ref="M4:O4"/>
    <mergeCell ref="S4:U4"/>
    <mergeCell ref="A19:U19"/>
    <mergeCell ref="P4:R4"/>
    <mergeCell ref="J6:L6"/>
    <mergeCell ref="A8:J8"/>
    <mergeCell ref="G6:I6"/>
    <mergeCell ref="J4:L4"/>
    <mergeCell ref="M6:O6"/>
    <mergeCell ref="J5:L5"/>
    <mergeCell ref="L8:U8"/>
    <mergeCell ref="A6:C6"/>
    <mergeCell ref="M5:O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defaultRowHeight="14.5" x14ac:dyDescent="0.35"/>
  <sheetData>
    <row r="1" spans="1:5" x14ac:dyDescent="0.35">
      <c r="A1" t="s">
        <v>183</v>
      </c>
      <c r="B1" t="s">
        <v>210</v>
      </c>
      <c r="D1" t="s">
        <v>188</v>
      </c>
      <c r="E1" t="s">
        <v>210</v>
      </c>
    </row>
    <row r="2" spans="1:5" x14ac:dyDescent="0.35">
      <c r="A2" t="s">
        <v>189</v>
      </c>
      <c r="B2">
        <v>159726768</v>
      </c>
      <c r="D2" t="s">
        <v>190</v>
      </c>
      <c r="E2">
        <v>120851017</v>
      </c>
    </row>
    <row r="3" spans="1:5" x14ac:dyDescent="0.35">
      <c r="A3" t="s">
        <v>191</v>
      </c>
      <c r="B3">
        <v>144962989</v>
      </c>
      <c r="D3" t="s">
        <v>192</v>
      </c>
      <c r="E3">
        <v>111892291</v>
      </c>
    </row>
    <row r="4" spans="1:5" x14ac:dyDescent="0.35">
      <c r="A4" t="s">
        <v>193</v>
      </c>
      <c r="B4">
        <v>100060405</v>
      </c>
      <c r="D4" t="s">
        <v>194</v>
      </c>
      <c r="E4">
        <v>84657326</v>
      </c>
    </row>
    <row r="5" spans="1:5" x14ac:dyDescent="0.35">
      <c r="A5" t="s">
        <v>195</v>
      </c>
      <c r="B5">
        <v>99117336</v>
      </c>
      <c r="D5" t="s">
        <v>196</v>
      </c>
      <c r="E5">
        <v>72508569</v>
      </c>
    </row>
    <row r="6" spans="1:5" x14ac:dyDescent="0.35">
      <c r="A6" t="s">
        <v>197</v>
      </c>
      <c r="B6">
        <v>60964813</v>
      </c>
      <c r="D6" t="s">
        <v>198</v>
      </c>
      <c r="E6">
        <v>63004284</v>
      </c>
    </row>
    <row r="7" spans="1:5" x14ac:dyDescent="0.35">
      <c r="A7" t="s">
        <v>199</v>
      </c>
      <c r="B7">
        <v>30623700</v>
      </c>
      <c r="D7" t="s">
        <v>200</v>
      </c>
      <c r="E7">
        <v>53101370</v>
      </c>
    </row>
    <row r="8" spans="1:5" x14ac:dyDescent="0.35">
      <c r="D8" t="s">
        <v>201</v>
      </c>
      <c r="E8">
        <v>47158738</v>
      </c>
    </row>
    <row r="9" spans="1:5" x14ac:dyDescent="0.35">
      <c r="D9" t="s">
        <v>202</v>
      </c>
      <c r="E9">
        <v>42282415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1"/>
  <sheetViews>
    <sheetView showGridLines="0" topLeftCell="A55" workbookViewId="0">
      <selection sqref="A1:U1"/>
    </sheetView>
  </sheetViews>
  <sheetFormatPr defaultRowHeight="14.5" x14ac:dyDescent="0.35"/>
  <cols>
    <col min="1" max="1" width="14" customWidth="1"/>
    <col min="2" max="2" width="7" customWidth="1"/>
    <col min="3" max="5" width="14" customWidth="1"/>
    <col min="6" max="7" width="13" customWidth="1"/>
    <col min="8" max="21" width="11" customWidth="1"/>
  </cols>
  <sheetData>
    <row r="1" spans="1:21" ht="46" customHeight="1" x14ac:dyDescent="0.35">
      <c r="A1" s="76" t="s">
        <v>211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8" customHeight="1" x14ac:dyDescent="0.35">
      <c r="A2" s="42" t="s">
        <v>212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20" customHeight="1" x14ac:dyDescent="0.35">
      <c r="A3" s="56" t="s">
        <v>213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17" customHeight="1" x14ac:dyDescent="0.35">
      <c r="A4" s="74" t="s">
        <v>214</v>
      </c>
      <c r="B4" s="43"/>
      <c r="C4" s="43"/>
      <c r="D4" s="74" t="s">
        <v>215</v>
      </c>
      <c r="E4" s="43"/>
      <c r="F4" s="43"/>
      <c r="G4" s="72" t="s">
        <v>216</v>
      </c>
      <c r="H4" s="43"/>
      <c r="I4" s="43"/>
      <c r="J4" s="66" t="s">
        <v>217</v>
      </c>
      <c r="K4" s="43"/>
      <c r="L4" s="43"/>
      <c r="M4" s="72" t="s">
        <v>218</v>
      </c>
      <c r="N4" s="43"/>
      <c r="O4" s="43"/>
      <c r="P4" s="65" t="s">
        <v>219</v>
      </c>
      <c r="Q4" s="43"/>
      <c r="R4" s="43"/>
      <c r="S4" s="87" t="s">
        <v>10</v>
      </c>
      <c r="T4" s="43"/>
      <c r="U4" s="43"/>
    </row>
    <row r="5" spans="1:21" ht="32" customHeight="1" x14ac:dyDescent="0.35">
      <c r="A5" s="94" t="s">
        <v>220</v>
      </c>
      <c r="B5" s="43"/>
      <c r="C5" s="43"/>
      <c r="D5" s="94" t="s">
        <v>221</v>
      </c>
      <c r="E5" s="43"/>
      <c r="F5" s="43"/>
      <c r="G5" s="61" t="s">
        <v>222</v>
      </c>
      <c r="H5" s="43"/>
      <c r="I5" s="43"/>
      <c r="J5" s="48" t="s">
        <v>223</v>
      </c>
      <c r="K5" s="43"/>
      <c r="L5" s="43"/>
      <c r="M5" s="61" t="s">
        <v>224</v>
      </c>
      <c r="N5" s="43"/>
      <c r="O5" s="43"/>
      <c r="P5" s="86" t="s">
        <v>225</v>
      </c>
      <c r="Q5" s="43"/>
      <c r="R5" s="43"/>
      <c r="S5" s="55" t="s">
        <v>19</v>
      </c>
      <c r="T5" s="43"/>
      <c r="U5" s="43"/>
    </row>
    <row r="6" spans="1:21" ht="15" customHeight="1" x14ac:dyDescent="0.35">
      <c r="A6" s="60" t="s">
        <v>226</v>
      </c>
      <c r="B6" s="43"/>
      <c r="C6" s="43"/>
      <c r="D6" s="60" t="s">
        <v>227</v>
      </c>
      <c r="E6" s="43"/>
      <c r="F6" s="43"/>
      <c r="G6" s="45" t="s">
        <v>228</v>
      </c>
      <c r="H6" s="43"/>
      <c r="I6" s="43"/>
      <c r="J6" s="93" t="s">
        <v>229</v>
      </c>
      <c r="K6" s="43"/>
      <c r="L6" s="43"/>
      <c r="M6" s="45" t="s">
        <v>230</v>
      </c>
      <c r="N6" s="43"/>
      <c r="O6" s="43"/>
      <c r="P6" s="92" t="s">
        <v>231</v>
      </c>
      <c r="Q6" s="43"/>
      <c r="R6" s="43"/>
      <c r="S6" s="50" t="s">
        <v>28</v>
      </c>
      <c r="T6" s="43"/>
      <c r="U6" s="43"/>
    </row>
    <row r="7" spans="1:21" ht="8" customHeight="1" x14ac:dyDescent="0.35"/>
    <row r="8" spans="1:21" ht="20" customHeight="1" x14ac:dyDescent="0.35">
      <c r="A8" s="100" t="s">
        <v>232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22" customHeight="1" x14ac:dyDescent="0.35">
      <c r="A9" s="33" t="s">
        <v>233</v>
      </c>
      <c r="B9" s="33" t="s">
        <v>234</v>
      </c>
      <c r="C9" s="33" t="s">
        <v>235</v>
      </c>
      <c r="D9" s="33" t="s">
        <v>236</v>
      </c>
      <c r="E9" s="33" t="s">
        <v>237</v>
      </c>
      <c r="F9" s="33" t="s">
        <v>238</v>
      </c>
      <c r="G9" s="33" t="s">
        <v>239</v>
      </c>
    </row>
    <row r="10" spans="1:21" x14ac:dyDescent="0.35">
      <c r="A10" s="2" t="s">
        <v>240</v>
      </c>
      <c r="B10" s="3">
        <v>56</v>
      </c>
      <c r="C10" s="4">
        <v>20377421</v>
      </c>
      <c r="D10" s="14">
        <v>5427525</v>
      </c>
      <c r="E10" s="8">
        <v>14949896</v>
      </c>
      <c r="F10" s="5">
        <v>74</v>
      </c>
      <c r="G10" s="5">
        <v>0</v>
      </c>
    </row>
    <row r="11" spans="1:21" x14ac:dyDescent="0.35">
      <c r="A11" s="9" t="s">
        <v>241</v>
      </c>
      <c r="B11" s="10">
        <v>51</v>
      </c>
      <c r="C11" s="11">
        <v>18980217</v>
      </c>
      <c r="D11" s="14">
        <v>2921684</v>
      </c>
      <c r="E11" s="8">
        <v>16058533</v>
      </c>
      <c r="F11" s="12">
        <v>84.9</v>
      </c>
      <c r="G11" s="12">
        <v>4</v>
      </c>
    </row>
    <row r="12" spans="1:21" x14ac:dyDescent="0.35">
      <c r="A12" s="2" t="s">
        <v>242</v>
      </c>
      <c r="B12" s="3">
        <v>49</v>
      </c>
      <c r="C12" s="4">
        <v>18621532</v>
      </c>
      <c r="D12" s="14">
        <v>2672230</v>
      </c>
      <c r="E12" s="8">
        <v>15949302</v>
      </c>
      <c r="F12" s="5">
        <v>86.5</v>
      </c>
      <c r="G12" s="5">
        <v>4</v>
      </c>
    </row>
    <row r="13" spans="1:21" x14ac:dyDescent="0.35">
      <c r="A13" s="9" t="s">
        <v>243</v>
      </c>
      <c r="B13" s="10">
        <v>40</v>
      </c>
      <c r="C13" s="11">
        <v>13895449</v>
      </c>
      <c r="D13" s="14">
        <v>2284625</v>
      </c>
      <c r="E13" s="8">
        <v>11610824</v>
      </c>
      <c r="F13" s="12">
        <v>84.5</v>
      </c>
      <c r="G13" s="12">
        <v>4.4000000000000004</v>
      </c>
    </row>
    <row r="14" spans="1:21" x14ac:dyDescent="0.35">
      <c r="A14" s="2" t="s">
        <v>244</v>
      </c>
      <c r="B14" s="3">
        <v>46</v>
      </c>
      <c r="C14" s="4">
        <v>15212871</v>
      </c>
      <c r="D14" s="14">
        <v>1750462</v>
      </c>
      <c r="E14" s="8">
        <v>13462409</v>
      </c>
      <c r="F14" s="5">
        <v>86.7</v>
      </c>
      <c r="G14" s="5">
        <v>8.1999999999999993</v>
      </c>
    </row>
    <row r="15" spans="1:21" ht="18" customHeight="1" x14ac:dyDescent="0.35">
      <c r="A15" s="16" t="s">
        <v>85</v>
      </c>
      <c r="B15" s="16">
        <f>SUM(B10:B14)</f>
        <v>242</v>
      </c>
      <c r="C15" s="16">
        <f>SUM(C10:C14)</f>
        <v>87087490</v>
      </c>
      <c r="D15" s="16">
        <f>SUM(D10:D14)</f>
        <v>15056526</v>
      </c>
      <c r="E15" s="16">
        <f>SUM(E10:E14)</f>
        <v>72030964</v>
      </c>
      <c r="F15" s="16">
        <f>AVERAGE(F10:F14)</f>
        <v>83.32</v>
      </c>
      <c r="G15" s="16">
        <f>AVERAGE(G10:G14)</f>
        <v>4.12</v>
      </c>
    </row>
    <row r="16" spans="1:21" ht="8" customHeight="1" x14ac:dyDescent="0.35"/>
    <row r="17" spans="1:21" ht="20" customHeight="1" x14ac:dyDescent="0.35">
      <c r="A17" s="100" t="s">
        <v>245</v>
      </c>
      <c r="B17" s="43"/>
      <c r="C17" s="43"/>
      <c r="D17" s="43"/>
      <c r="E17" s="43"/>
      <c r="F17" s="43"/>
      <c r="G17" s="43"/>
      <c r="H17" s="43"/>
      <c r="I17" s="43"/>
      <c r="J17" s="43"/>
      <c r="L17" s="100" t="s">
        <v>246</v>
      </c>
      <c r="M17" s="43"/>
      <c r="N17" s="43"/>
      <c r="O17" s="43"/>
      <c r="P17" s="43"/>
      <c r="Q17" s="43"/>
      <c r="R17" s="43"/>
      <c r="S17" s="43"/>
      <c r="T17" s="43"/>
      <c r="U17" s="43"/>
    </row>
    <row r="18" spans="1:21" ht="22" customHeight="1" x14ac:dyDescent="0.35">
      <c r="A18" s="33" t="s">
        <v>48</v>
      </c>
      <c r="B18" s="33" t="s">
        <v>247</v>
      </c>
      <c r="C18" s="33" t="s">
        <v>236</v>
      </c>
      <c r="D18" s="33" t="s">
        <v>238</v>
      </c>
      <c r="L18" s="33" t="s">
        <v>248</v>
      </c>
      <c r="M18" s="33" t="s">
        <v>249</v>
      </c>
      <c r="N18" s="33" t="s">
        <v>236</v>
      </c>
    </row>
    <row r="19" spans="1:21" x14ac:dyDescent="0.35">
      <c r="A19" s="2" t="s">
        <v>59</v>
      </c>
      <c r="B19" s="3">
        <v>40</v>
      </c>
      <c r="C19" s="4">
        <v>2443893</v>
      </c>
      <c r="D19" s="5">
        <v>82.4</v>
      </c>
      <c r="L19" s="2" t="s">
        <v>250</v>
      </c>
      <c r="M19" s="3">
        <v>55</v>
      </c>
      <c r="N19" s="4">
        <v>3767117</v>
      </c>
    </row>
    <row r="20" spans="1:21" x14ac:dyDescent="0.35">
      <c r="A20" s="9" t="s">
        <v>65</v>
      </c>
      <c r="B20" s="10">
        <v>24</v>
      </c>
      <c r="C20" s="11">
        <v>2194057</v>
      </c>
      <c r="D20" s="12">
        <v>82.6</v>
      </c>
      <c r="L20" s="9" t="s">
        <v>251</v>
      </c>
      <c r="M20" s="10">
        <v>52</v>
      </c>
      <c r="N20" s="11">
        <v>3063614</v>
      </c>
    </row>
    <row r="21" spans="1:21" x14ac:dyDescent="0.35">
      <c r="A21" s="2" t="s">
        <v>62</v>
      </c>
      <c r="B21" s="3">
        <v>22</v>
      </c>
      <c r="C21" s="4">
        <v>1735195</v>
      </c>
      <c r="D21" s="5">
        <v>83</v>
      </c>
      <c r="L21" s="2" t="s">
        <v>252</v>
      </c>
      <c r="M21" s="3">
        <v>47</v>
      </c>
      <c r="N21" s="4">
        <v>2868264</v>
      </c>
    </row>
    <row r="22" spans="1:21" x14ac:dyDescent="0.35">
      <c r="A22" s="9" t="s">
        <v>71</v>
      </c>
      <c r="B22" s="10">
        <v>17</v>
      </c>
      <c r="C22" s="11">
        <v>1725617</v>
      </c>
      <c r="D22" s="12">
        <v>81.7</v>
      </c>
      <c r="L22" s="9" t="s">
        <v>253</v>
      </c>
      <c r="M22" s="10">
        <v>43</v>
      </c>
      <c r="N22" s="11">
        <v>2734165</v>
      </c>
    </row>
    <row r="23" spans="1:21" x14ac:dyDescent="0.35">
      <c r="A23" s="2" t="s">
        <v>68</v>
      </c>
      <c r="B23" s="3">
        <v>25</v>
      </c>
      <c r="C23" s="4">
        <v>1366305</v>
      </c>
      <c r="D23" s="5">
        <v>86.3</v>
      </c>
      <c r="L23" s="2" t="s">
        <v>254</v>
      </c>
      <c r="M23" s="3">
        <v>45</v>
      </c>
      <c r="N23" s="4">
        <v>2623366</v>
      </c>
    </row>
    <row r="24" spans="1:21" x14ac:dyDescent="0.35">
      <c r="A24" s="9" t="s">
        <v>73</v>
      </c>
      <c r="B24" s="10">
        <v>20</v>
      </c>
      <c r="C24" s="11">
        <v>1286572</v>
      </c>
      <c r="D24" s="12">
        <v>81.8</v>
      </c>
    </row>
    <row r="25" spans="1:21" x14ac:dyDescent="0.35">
      <c r="A25" s="2" t="s">
        <v>75</v>
      </c>
      <c r="B25" s="3">
        <v>23</v>
      </c>
      <c r="C25" s="4">
        <v>1193499</v>
      </c>
      <c r="D25" s="5">
        <v>85.4</v>
      </c>
    </row>
    <row r="26" spans="1:21" x14ac:dyDescent="0.35">
      <c r="A26" s="9" t="s">
        <v>77</v>
      </c>
      <c r="B26" s="10">
        <v>15</v>
      </c>
      <c r="C26" s="11">
        <v>1124962</v>
      </c>
      <c r="D26" s="12">
        <v>84.3</v>
      </c>
    </row>
    <row r="27" spans="1:21" x14ac:dyDescent="0.35">
      <c r="A27" s="2" t="s">
        <v>82</v>
      </c>
      <c r="B27" s="3">
        <v>16</v>
      </c>
      <c r="C27" s="4">
        <v>1066208</v>
      </c>
      <c r="D27" s="5">
        <v>81.8</v>
      </c>
    </row>
    <row r="28" spans="1:21" x14ac:dyDescent="0.35">
      <c r="A28" s="9" t="s">
        <v>80</v>
      </c>
      <c r="B28" s="10">
        <v>40</v>
      </c>
      <c r="C28" s="11">
        <v>920218</v>
      </c>
      <c r="D28" s="12">
        <v>81.5</v>
      </c>
    </row>
    <row r="31" spans="1:21" ht="20" customHeight="1" x14ac:dyDescent="0.35">
      <c r="A31" s="47" t="s">
        <v>255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</sheetData>
  <mergeCells count="28">
    <mergeCell ref="A31:U31"/>
    <mergeCell ref="J5:L5"/>
    <mergeCell ref="A6:C6"/>
    <mergeCell ref="M5:O5"/>
    <mergeCell ref="A1:U1"/>
    <mergeCell ref="D6:F6"/>
    <mergeCell ref="P6:R6"/>
    <mergeCell ref="A3:U3"/>
    <mergeCell ref="S6:U6"/>
    <mergeCell ref="A2:U2"/>
    <mergeCell ref="A5:C5"/>
    <mergeCell ref="G5:I5"/>
    <mergeCell ref="D4:F4"/>
    <mergeCell ref="G4:I4"/>
    <mergeCell ref="A4:C4"/>
    <mergeCell ref="S5:U5"/>
    <mergeCell ref="D5:F5"/>
    <mergeCell ref="P5:R5"/>
    <mergeCell ref="M4:O4"/>
    <mergeCell ref="S4:U4"/>
    <mergeCell ref="P4:R4"/>
    <mergeCell ref="J6:L6"/>
    <mergeCell ref="G6:I6"/>
    <mergeCell ref="A17:J17"/>
    <mergeCell ref="J4:L4"/>
    <mergeCell ref="M6:O6"/>
    <mergeCell ref="L17:U17"/>
    <mergeCell ref="A8:U8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5" x14ac:dyDescent="0.35"/>
  <sheetData>
    <row r="1" spans="1:3" x14ac:dyDescent="0.35">
      <c r="A1" t="s">
        <v>233</v>
      </c>
      <c r="B1" t="s">
        <v>256</v>
      </c>
      <c r="C1" t="s">
        <v>257</v>
      </c>
    </row>
    <row r="2" spans="1:3" x14ac:dyDescent="0.35">
      <c r="A2" t="s">
        <v>240</v>
      </c>
      <c r="B2">
        <v>5427525</v>
      </c>
      <c r="C2">
        <v>74</v>
      </c>
    </row>
    <row r="3" spans="1:3" x14ac:dyDescent="0.35">
      <c r="A3" t="s">
        <v>241</v>
      </c>
      <c r="B3">
        <v>2921684</v>
      </c>
      <c r="C3">
        <v>84.9</v>
      </c>
    </row>
    <row r="4" spans="1:3" x14ac:dyDescent="0.35">
      <c r="A4" t="s">
        <v>242</v>
      </c>
      <c r="B4">
        <v>2672230</v>
      </c>
      <c r="C4">
        <v>86.5</v>
      </c>
    </row>
    <row r="5" spans="1:3" x14ac:dyDescent="0.35">
      <c r="A5" t="s">
        <v>243</v>
      </c>
      <c r="B5">
        <v>2284625</v>
      </c>
      <c r="C5">
        <v>84.5</v>
      </c>
    </row>
    <row r="6" spans="1:3" x14ac:dyDescent="0.35">
      <c r="A6" t="s">
        <v>244</v>
      </c>
      <c r="B6">
        <v>1750462</v>
      </c>
      <c r="C6">
        <v>86.7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1"/>
  <sheetViews>
    <sheetView showGridLines="0" topLeftCell="A64" workbookViewId="0">
      <selection sqref="A1:U1"/>
    </sheetView>
  </sheetViews>
  <sheetFormatPr defaultRowHeight="14.5" x14ac:dyDescent="0.35"/>
  <cols>
    <col min="1" max="21" width="11" customWidth="1"/>
  </cols>
  <sheetData>
    <row r="1" spans="1:21" ht="46" customHeight="1" x14ac:dyDescent="0.35">
      <c r="A1" s="76" t="s">
        <v>258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8" customHeight="1" x14ac:dyDescent="0.35">
      <c r="A2" s="42" t="s">
        <v>259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20" customHeight="1" x14ac:dyDescent="0.35">
      <c r="A3" s="56" t="s">
        <v>260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17" customHeight="1" x14ac:dyDescent="0.35">
      <c r="A4" s="102" t="s">
        <v>261</v>
      </c>
      <c r="B4" s="43"/>
      <c r="C4" s="43"/>
      <c r="D4" s="65" t="s">
        <v>262</v>
      </c>
      <c r="E4" s="43"/>
      <c r="F4" s="43"/>
      <c r="G4" s="97" t="s">
        <v>263</v>
      </c>
      <c r="H4" s="43"/>
      <c r="I4" s="43"/>
      <c r="J4" s="72" t="s">
        <v>264</v>
      </c>
      <c r="K4" s="43"/>
      <c r="L4" s="43"/>
      <c r="M4" s="66" t="s">
        <v>265</v>
      </c>
      <c r="N4" s="43"/>
      <c r="O4" s="43"/>
      <c r="P4" s="87" t="s">
        <v>266</v>
      </c>
      <c r="Q4" s="43"/>
      <c r="R4" s="43"/>
      <c r="S4" s="98" t="s">
        <v>267</v>
      </c>
      <c r="T4" s="43"/>
      <c r="U4" s="43"/>
    </row>
    <row r="5" spans="1:21" ht="32" customHeight="1" x14ac:dyDescent="0.35">
      <c r="A5" s="101" t="s">
        <v>268</v>
      </c>
      <c r="B5" s="43"/>
      <c r="C5" s="43"/>
      <c r="D5" s="86" t="s">
        <v>269</v>
      </c>
      <c r="E5" s="43"/>
      <c r="F5" s="43"/>
      <c r="G5" s="99" t="s">
        <v>270</v>
      </c>
      <c r="H5" s="43"/>
      <c r="I5" s="43"/>
      <c r="J5" s="61" t="s">
        <v>271</v>
      </c>
      <c r="K5" s="43"/>
      <c r="L5" s="43"/>
      <c r="M5" s="48" t="s">
        <v>268</v>
      </c>
      <c r="N5" s="43"/>
      <c r="O5" s="43"/>
      <c r="P5" s="55" t="s">
        <v>272</v>
      </c>
      <c r="Q5" s="43"/>
      <c r="R5" s="43"/>
      <c r="S5" s="62" t="s">
        <v>273</v>
      </c>
      <c r="T5" s="43"/>
      <c r="U5" s="43"/>
    </row>
    <row r="6" spans="1:21" ht="15" customHeight="1" x14ac:dyDescent="0.35">
      <c r="A6" s="103" t="s">
        <v>274</v>
      </c>
      <c r="B6" s="43"/>
      <c r="C6" s="43"/>
      <c r="D6" s="92" t="s">
        <v>275</v>
      </c>
      <c r="E6" s="43"/>
      <c r="F6" s="43"/>
      <c r="G6" s="95" t="s">
        <v>276</v>
      </c>
      <c r="H6" s="43"/>
      <c r="I6" s="43"/>
      <c r="J6" s="45" t="s">
        <v>277</v>
      </c>
      <c r="K6" s="43"/>
      <c r="L6" s="43"/>
      <c r="M6" s="93" t="s">
        <v>278</v>
      </c>
      <c r="N6" s="43"/>
      <c r="O6" s="43"/>
      <c r="P6" s="50" t="s">
        <v>279</v>
      </c>
      <c r="Q6" s="43"/>
      <c r="R6" s="43"/>
      <c r="S6" s="96" t="s">
        <v>280</v>
      </c>
      <c r="T6" s="43"/>
      <c r="U6" s="43"/>
    </row>
    <row r="7" spans="1:21" ht="8" customHeight="1" x14ac:dyDescent="0.35"/>
    <row r="8" spans="1:21" ht="20" customHeight="1" x14ac:dyDescent="0.35">
      <c r="A8" s="47" t="s">
        <v>281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22" customHeight="1" x14ac:dyDescent="0.35">
      <c r="A9" s="1" t="s">
        <v>282</v>
      </c>
      <c r="B9" s="1" t="s">
        <v>51</v>
      </c>
      <c r="C9" s="1" t="s">
        <v>283</v>
      </c>
      <c r="D9" s="1" t="s">
        <v>284</v>
      </c>
      <c r="E9" s="1" t="s">
        <v>285</v>
      </c>
      <c r="F9" s="1" t="s">
        <v>286</v>
      </c>
      <c r="G9" s="1" t="s">
        <v>287</v>
      </c>
      <c r="H9" s="1" t="s">
        <v>288</v>
      </c>
      <c r="I9" s="1" t="s">
        <v>289</v>
      </c>
      <c r="J9" s="1" t="s">
        <v>114</v>
      </c>
    </row>
    <row r="10" spans="1:21" x14ac:dyDescent="0.35">
      <c r="A10" s="2" t="s">
        <v>268</v>
      </c>
      <c r="B10" s="4">
        <v>696145204</v>
      </c>
      <c r="C10" s="5">
        <v>6210.8</v>
      </c>
      <c r="D10" s="5">
        <v>105491.2</v>
      </c>
      <c r="E10" s="5">
        <v>1917.2</v>
      </c>
      <c r="F10" s="5">
        <v>72.900000000000006</v>
      </c>
      <c r="G10" s="5">
        <v>8.1999999999999993</v>
      </c>
      <c r="H10" s="34">
        <v>89.1</v>
      </c>
      <c r="I10" s="3">
        <v>1020</v>
      </c>
      <c r="J10" s="3">
        <v>1</v>
      </c>
    </row>
    <row r="11" spans="1:21" x14ac:dyDescent="0.35">
      <c r="A11" s="9" t="s">
        <v>290</v>
      </c>
      <c r="B11" s="11">
        <v>0</v>
      </c>
      <c r="C11" s="12">
        <v>6649.2</v>
      </c>
      <c r="D11" s="12">
        <v>0</v>
      </c>
      <c r="E11" s="12">
        <v>2435.8000000000002</v>
      </c>
      <c r="F11" s="12">
        <v>69.900000000000006</v>
      </c>
      <c r="G11" s="12">
        <v>6.6</v>
      </c>
      <c r="H11" s="34">
        <v>88.2</v>
      </c>
      <c r="I11" s="10">
        <v>788</v>
      </c>
      <c r="J11" s="10">
        <v>2</v>
      </c>
    </row>
    <row r="12" spans="1:21" x14ac:dyDescent="0.35">
      <c r="A12" s="2" t="s">
        <v>291</v>
      </c>
      <c r="B12" s="4">
        <v>0</v>
      </c>
      <c r="C12" s="5">
        <v>4978.3999999999996</v>
      </c>
      <c r="D12" s="5">
        <v>0</v>
      </c>
      <c r="E12" s="5">
        <v>1942.1</v>
      </c>
      <c r="F12" s="5">
        <v>78.2</v>
      </c>
      <c r="G12" s="5">
        <v>6.2</v>
      </c>
      <c r="H12" s="34">
        <v>88.8</v>
      </c>
      <c r="I12" s="3">
        <v>812</v>
      </c>
      <c r="J12" s="3">
        <v>3</v>
      </c>
    </row>
    <row r="13" spans="1:21" x14ac:dyDescent="0.35">
      <c r="A13" s="9" t="s">
        <v>292</v>
      </c>
      <c r="B13" s="11">
        <v>0</v>
      </c>
      <c r="C13" s="12">
        <v>5733.4</v>
      </c>
      <c r="D13" s="12">
        <v>0</v>
      </c>
      <c r="E13" s="12">
        <v>2283.6999999999998</v>
      </c>
      <c r="F13" s="12">
        <v>81.900000000000006</v>
      </c>
      <c r="G13" s="12">
        <v>10.199999999999999</v>
      </c>
      <c r="H13" s="34">
        <v>88.4</v>
      </c>
      <c r="I13" s="10">
        <v>837</v>
      </c>
      <c r="J13" s="10">
        <v>4</v>
      </c>
    </row>
    <row r="14" spans="1:21" x14ac:dyDescent="0.35">
      <c r="A14" s="2" t="s">
        <v>293</v>
      </c>
      <c r="B14" s="4">
        <v>0</v>
      </c>
      <c r="C14" s="5">
        <v>6586.3</v>
      </c>
      <c r="D14" s="5">
        <v>0</v>
      </c>
      <c r="E14" s="5">
        <v>2052.6999999999998</v>
      </c>
      <c r="F14" s="5">
        <v>77.900000000000006</v>
      </c>
      <c r="G14" s="5">
        <v>9.4</v>
      </c>
      <c r="H14" s="34">
        <v>86.1</v>
      </c>
      <c r="I14" s="3">
        <v>1032</v>
      </c>
      <c r="J14" s="3">
        <v>5</v>
      </c>
    </row>
    <row r="15" spans="1:21" ht="8" customHeight="1" x14ac:dyDescent="0.35"/>
    <row r="16" spans="1:21" ht="20" customHeight="1" x14ac:dyDescent="0.35">
      <c r="A16" s="47" t="s">
        <v>294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</row>
    <row r="17" spans="1:21" ht="22" customHeight="1" x14ac:dyDescent="0.35">
      <c r="A17" s="1" t="s">
        <v>56</v>
      </c>
      <c r="B17" s="1" t="s">
        <v>51</v>
      </c>
      <c r="C17" s="1" t="s">
        <v>284</v>
      </c>
      <c r="D17" s="1" t="s">
        <v>285</v>
      </c>
      <c r="E17" s="1" t="s">
        <v>286</v>
      </c>
      <c r="F17" s="1" t="s">
        <v>288</v>
      </c>
    </row>
    <row r="18" spans="1:21" x14ac:dyDescent="0.35">
      <c r="A18" s="2" t="s">
        <v>61</v>
      </c>
      <c r="B18" s="4">
        <v>50475220</v>
      </c>
      <c r="C18" s="5">
        <v>7614.7</v>
      </c>
      <c r="D18" s="5">
        <v>46.2</v>
      </c>
      <c r="E18" s="5">
        <v>60.5</v>
      </c>
      <c r="F18" s="5">
        <v>86.7</v>
      </c>
    </row>
    <row r="19" spans="1:21" x14ac:dyDescent="0.35">
      <c r="A19" s="9" t="s">
        <v>64</v>
      </c>
      <c r="B19" s="11">
        <v>46276678</v>
      </c>
      <c r="C19" s="12">
        <v>7150.6</v>
      </c>
      <c r="D19" s="12">
        <v>159</v>
      </c>
      <c r="E19" s="12">
        <v>85.9</v>
      </c>
      <c r="F19" s="12">
        <v>89.8</v>
      </c>
    </row>
    <row r="20" spans="1:21" x14ac:dyDescent="0.35">
      <c r="A20" s="2" t="s">
        <v>67</v>
      </c>
      <c r="B20" s="4">
        <v>61338915</v>
      </c>
      <c r="C20" s="5">
        <v>9383</v>
      </c>
      <c r="D20" s="5">
        <v>217.2</v>
      </c>
      <c r="E20" s="5">
        <v>88.8</v>
      </c>
      <c r="F20" s="5">
        <v>86.2</v>
      </c>
    </row>
    <row r="21" spans="1:21" x14ac:dyDescent="0.35">
      <c r="A21" s="9" t="s">
        <v>70</v>
      </c>
      <c r="B21" s="11">
        <v>64551935</v>
      </c>
      <c r="C21" s="12">
        <v>9559.2999999999993</v>
      </c>
      <c r="D21" s="12">
        <v>264.8</v>
      </c>
      <c r="E21" s="12">
        <v>90.8</v>
      </c>
      <c r="F21" s="12">
        <v>93.3</v>
      </c>
    </row>
    <row r="22" spans="1:21" x14ac:dyDescent="0.35">
      <c r="A22" s="2" t="s">
        <v>72</v>
      </c>
      <c r="B22" s="4">
        <v>68745988</v>
      </c>
      <c r="C22" s="5">
        <v>10332.700000000001</v>
      </c>
      <c r="D22" s="5">
        <v>107.1</v>
      </c>
      <c r="E22" s="5">
        <v>80.2</v>
      </c>
      <c r="F22" s="5">
        <v>93.7</v>
      </c>
    </row>
    <row r="23" spans="1:21" x14ac:dyDescent="0.35">
      <c r="A23" s="9" t="s">
        <v>74</v>
      </c>
      <c r="B23" s="11">
        <v>70343014</v>
      </c>
      <c r="C23" s="12">
        <v>10498.6</v>
      </c>
      <c r="D23" s="12">
        <v>356.7</v>
      </c>
      <c r="E23" s="12">
        <v>56.2</v>
      </c>
      <c r="F23" s="12">
        <v>97.8</v>
      </c>
    </row>
    <row r="24" spans="1:21" x14ac:dyDescent="0.35">
      <c r="A24" s="2" t="s">
        <v>76</v>
      </c>
      <c r="B24" s="4">
        <v>69958017</v>
      </c>
      <c r="C24" s="5">
        <v>10659.3</v>
      </c>
      <c r="D24" s="5">
        <v>238.6</v>
      </c>
      <c r="E24" s="5">
        <v>64.900000000000006</v>
      </c>
      <c r="F24" s="5">
        <v>83.5</v>
      </c>
    </row>
    <row r="25" spans="1:21" x14ac:dyDescent="0.35">
      <c r="A25" s="9" t="s">
        <v>79</v>
      </c>
      <c r="B25" s="11">
        <v>64081732</v>
      </c>
      <c r="C25" s="12">
        <v>9950.5</v>
      </c>
      <c r="D25" s="12">
        <v>109.4</v>
      </c>
      <c r="E25" s="12">
        <v>80.400000000000006</v>
      </c>
      <c r="F25" s="12">
        <v>91.7</v>
      </c>
    </row>
    <row r="26" spans="1:21" x14ac:dyDescent="0.35">
      <c r="A26" s="2" t="s">
        <v>81</v>
      </c>
      <c r="B26" s="4">
        <v>58560302</v>
      </c>
      <c r="C26" s="5">
        <v>8802.2000000000007</v>
      </c>
      <c r="D26" s="5">
        <v>100.3</v>
      </c>
      <c r="E26" s="5">
        <v>68</v>
      </c>
      <c r="F26" s="5">
        <v>89.2</v>
      </c>
    </row>
    <row r="27" spans="1:21" x14ac:dyDescent="0.35">
      <c r="A27" s="9" t="s">
        <v>84</v>
      </c>
      <c r="B27" s="11">
        <v>55270986</v>
      </c>
      <c r="C27" s="12">
        <v>8223.5</v>
      </c>
      <c r="D27" s="12">
        <v>108</v>
      </c>
      <c r="E27" s="12">
        <v>62.5</v>
      </c>
      <c r="F27" s="12">
        <v>83.5</v>
      </c>
    </row>
    <row r="28" spans="1:21" x14ac:dyDescent="0.35">
      <c r="A28" s="2" t="s">
        <v>87</v>
      </c>
      <c r="B28" s="4">
        <v>43579058</v>
      </c>
      <c r="C28" s="5">
        <v>6711.9</v>
      </c>
      <c r="D28" s="5">
        <v>130.30000000000001</v>
      </c>
      <c r="E28" s="5">
        <v>76.400000000000006</v>
      </c>
      <c r="F28" s="5">
        <v>82.3</v>
      </c>
    </row>
    <row r="29" spans="1:21" x14ac:dyDescent="0.35">
      <c r="A29" s="9" t="s">
        <v>88</v>
      </c>
      <c r="B29" s="11">
        <v>42963359</v>
      </c>
      <c r="C29" s="12">
        <v>6604.9</v>
      </c>
      <c r="D29" s="12">
        <v>79.599999999999994</v>
      </c>
      <c r="E29" s="12">
        <v>59.6</v>
      </c>
      <c r="F29" s="12">
        <v>91.3</v>
      </c>
    </row>
    <row r="30" spans="1:21" ht="8" customHeight="1" x14ac:dyDescent="0.35"/>
    <row r="31" spans="1:21" ht="20" customHeight="1" x14ac:dyDescent="0.35">
      <c r="A31" s="47" t="s">
        <v>295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</sheetData>
  <mergeCells count="27">
    <mergeCell ref="A31:U31"/>
    <mergeCell ref="J5:L5"/>
    <mergeCell ref="A6:C6"/>
    <mergeCell ref="M5:O5"/>
    <mergeCell ref="A1:U1"/>
    <mergeCell ref="D6:F6"/>
    <mergeCell ref="P6:R6"/>
    <mergeCell ref="A3:U3"/>
    <mergeCell ref="S6:U6"/>
    <mergeCell ref="A2:U2"/>
    <mergeCell ref="A5:C5"/>
    <mergeCell ref="G5:I5"/>
    <mergeCell ref="D4:F4"/>
    <mergeCell ref="G4:I4"/>
    <mergeCell ref="A4:C4"/>
    <mergeCell ref="S5:U5"/>
    <mergeCell ref="D5:F5"/>
    <mergeCell ref="P5:R5"/>
    <mergeCell ref="M4:O4"/>
    <mergeCell ref="S4:U4"/>
    <mergeCell ref="P4:R4"/>
    <mergeCell ref="J6:L6"/>
    <mergeCell ref="A16:U16"/>
    <mergeCell ref="G6:I6"/>
    <mergeCell ref="J4:L4"/>
    <mergeCell ref="M6:O6"/>
    <mergeCell ref="A8:U8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RowHeight="14.5" x14ac:dyDescent="0.35"/>
  <sheetData>
    <row r="1" spans="1:5" x14ac:dyDescent="0.35">
      <c r="A1" t="s">
        <v>282</v>
      </c>
      <c r="B1" t="s">
        <v>210</v>
      </c>
      <c r="D1" t="s">
        <v>56</v>
      </c>
      <c r="E1" t="s">
        <v>296</v>
      </c>
    </row>
    <row r="2" spans="1:5" x14ac:dyDescent="0.35">
      <c r="A2" t="s">
        <v>268</v>
      </c>
      <c r="B2">
        <v>696145204</v>
      </c>
      <c r="D2" t="s">
        <v>61</v>
      </c>
      <c r="E2">
        <v>50475220</v>
      </c>
    </row>
    <row r="3" spans="1:5" x14ac:dyDescent="0.35">
      <c r="A3" t="s">
        <v>290</v>
      </c>
      <c r="B3">
        <v>0</v>
      </c>
      <c r="D3" t="s">
        <v>64</v>
      </c>
      <c r="E3">
        <v>46276678</v>
      </c>
    </row>
    <row r="4" spans="1:5" x14ac:dyDescent="0.35">
      <c r="A4" t="s">
        <v>291</v>
      </c>
      <c r="B4">
        <v>0</v>
      </c>
      <c r="D4" t="s">
        <v>67</v>
      </c>
      <c r="E4">
        <v>61338915</v>
      </c>
    </row>
    <row r="5" spans="1:5" x14ac:dyDescent="0.35">
      <c r="A5" t="s">
        <v>292</v>
      </c>
      <c r="B5">
        <v>0</v>
      </c>
      <c r="D5" t="s">
        <v>70</v>
      </c>
      <c r="E5">
        <v>64551935</v>
      </c>
    </row>
    <row r="6" spans="1:5" x14ac:dyDescent="0.35">
      <c r="A6" t="s">
        <v>293</v>
      </c>
      <c r="B6">
        <v>0</v>
      </c>
      <c r="D6" t="s">
        <v>72</v>
      </c>
      <c r="E6">
        <v>68745988</v>
      </c>
    </row>
    <row r="7" spans="1:5" x14ac:dyDescent="0.35">
      <c r="D7" t="s">
        <v>74</v>
      </c>
      <c r="E7">
        <v>70343014</v>
      </c>
    </row>
    <row r="8" spans="1:5" x14ac:dyDescent="0.35">
      <c r="D8" t="s">
        <v>76</v>
      </c>
      <c r="E8">
        <v>69958017</v>
      </c>
    </row>
    <row r="9" spans="1:5" x14ac:dyDescent="0.35">
      <c r="D9" t="s">
        <v>79</v>
      </c>
      <c r="E9">
        <v>64081732</v>
      </c>
    </row>
    <row r="10" spans="1:5" x14ac:dyDescent="0.35">
      <c r="D10" t="s">
        <v>81</v>
      </c>
      <c r="E10">
        <v>58560302</v>
      </c>
    </row>
    <row r="11" spans="1:5" x14ac:dyDescent="0.35">
      <c r="D11" t="s">
        <v>84</v>
      </c>
      <c r="E11">
        <v>55270986</v>
      </c>
    </row>
    <row r="12" spans="1:5" x14ac:dyDescent="0.35">
      <c r="D12" t="s">
        <v>87</v>
      </c>
      <c r="E12">
        <v>43579058</v>
      </c>
    </row>
    <row r="13" spans="1:5" x14ac:dyDescent="0.35">
      <c r="D13" t="s">
        <v>88</v>
      </c>
      <c r="E13">
        <v>42963359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"/>
  <sheetViews>
    <sheetView showGridLines="0" topLeftCell="A34" workbookViewId="0">
      <selection sqref="A1:O1"/>
    </sheetView>
  </sheetViews>
  <sheetFormatPr defaultRowHeight="14.5" x14ac:dyDescent="0.35"/>
  <cols>
    <col min="1" max="15" width="13" customWidth="1"/>
  </cols>
  <sheetData>
    <row r="1" spans="1:15" ht="46" customHeight="1" x14ac:dyDescent="0.35">
      <c r="A1" s="76" t="s">
        <v>297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18" customHeight="1" x14ac:dyDescent="0.35">
      <c r="A2" s="42" t="s">
        <v>298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20" customHeight="1" x14ac:dyDescent="0.35">
      <c r="A3" s="56" t="s">
        <v>299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 ht="17" customHeight="1" x14ac:dyDescent="0.35">
      <c r="A4" s="72" t="s">
        <v>300</v>
      </c>
      <c r="B4" s="43"/>
      <c r="C4" s="43"/>
      <c r="D4" s="66" t="s">
        <v>301</v>
      </c>
      <c r="E4" s="43"/>
      <c r="F4" s="43"/>
      <c r="G4" s="65" t="s">
        <v>302</v>
      </c>
      <c r="H4" s="43"/>
      <c r="I4" s="43"/>
      <c r="J4" s="97" t="s">
        <v>303</v>
      </c>
      <c r="K4" s="43"/>
      <c r="L4" s="43"/>
      <c r="M4" s="98" t="s">
        <v>304</v>
      </c>
      <c r="N4" s="43"/>
      <c r="O4" s="43"/>
    </row>
    <row r="5" spans="1:15" ht="32" customHeight="1" x14ac:dyDescent="0.35">
      <c r="A5" s="61" t="s">
        <v>305</v>
      </c>
      <c r="B5" s="43"/>
      <c r="C5" s="43"/>
      <c r="D5" s="48" t="s">
        <v>306</v>
      </c>
      <c r="E5" s="43"/>
      <c r="F5" s="43"/>
      <c r="G5" s="86" t="s">
        <v>76</v>
      </c>
      <c r="H5" s="43"/>
      <c r="I5" s="43"/>
      <c r="J5" s="99" t="s">
        <v>88</v>
      </c>
      <c r="K5" s="43"/>
      <c r="L5" s="43"/>
      <c r="M5" s="62" t="s">
        <v>20</v>
      </c>
      <c r="N5" s="43"/>
      <c r="O5" s="43"/>
    </row>
    <row r="6" spans="1:15" ht="15" customHeight="1" x14ac:dyDescent="0.35">
      <c r="A6" s="45" t="s">
        <v>307</v>
      </c>
      <c r="B6" s="43"/>
      <c r="C6" s="43"/>
      <c r="D6" s="93" t="s">
        <v>308</v>
      </c>
      <c r="E6" s="43"/>
      <c r="F6" s="43"/>
      <c r="G6" s="92" t="s">
        <v>309</v>
      </c>
      <c r="H6" s="43"/>
      <c r="I6" s="43"/>
      <c r="J6" s="95" t="s">
        <v>310</v>
      </c>
      <c r="K6" s="43"/>
      <c r="L6" s="43"/>
      <c r="M6" s="96" t="s">
        <v>139</v>
      </c>
      <c r="N6" s="43"/>
      <c r="O6" s="43"/>
    </row>
    <row r="7" spans="1:15" ht="8" customHeight="1" x14ac:dyDescent="0.35"/>
    <row r="8" spans="1:15" ht="20" customHeight="1" x14ac:dyDescent="0.35">
      <c r="A8" s="47" t="s">
        <v>311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22" customHeight="1" x14ac:dyDescent="0.35">
      <c r="A9" s="1" t="s">
        <v>56</v>
      </c>
      <c r="B9" s="1" t="s">
        <v>312</v>
      </c>
      <c r="C9" s="1" t="s">
        <v>313</v>
      </c>
      <c r="D9" s="1" t="s">
        <v>314</v>
      </c>
      <c r="E9" s="1" t="s">
        <v>315</v>
      </c>
      <c r="F9" s="1" t="s">
        <v>316</v>
      </c>
      <c r="G9" s="1" t="s">
        <v>317</v>
      </c>
    </row>
    <row r="10" spans="1:15" x14ac:dyDescent="0.35">
      <c r="A10" s="2" t="s">
        <v>61</v>
      </c>
      <c r="B10" s="5">
        <v>6590.8</v>
      </c>
      <c r="C10" s="5">
        <v>587</v>
      </c>
      <c r="D10" s="5">
        <v>6003.8</v>
      </c>
      <c r="E10" s="7">
        <v>1022.8</v>
      </c>
      <c r="F10" s="6">
        <v>0.78300000000000003</v>
      </c>
      <c r="G10" s="5">
        <v>7.3</v>
      </c>
    </row>
    <row r="11" spans="1:15" x14ac:dyDescent="0.35">
      <c r="A11" s="9" t="s">
        <v>64</v>
      </c>
      <c r="B11" s="12">
        <v>6062.5</v>
      </c>
      <c r="C11" s="12">
        <v>663.6</v>
      </c>
      <c r="D11" s="12">
        <v>5398.9</v>
      </c>
      <c r="E11" s="7">
        <v>813.6</v>
      </c>
      <c r="F11" s="13">
        <v>0.875</v>
      </c>
      <c r="G11" s="12">
        <v>5.2</v>
      </c>
    </row>
    <row r="12" spans="1:15" x14ac:dyDescent="0.35">
      <c r="A12" s="2" t="s">
        <v>67</v>
      </c>
      <c r="B12" s="5">
        <v>8046.4</v>
      </c>
      <c r="C12" s="5">
        <v>737.5</v>
      </c>
      <c r="D12" s="5">
        <v>7308.9</v>
      </c>
      <c r="E12" s="7">
        <v>991</v>
      </c>
      <c r="F12" s="6">
        <v>1</v>
      </c>
      <c r="G12" s="5">
        <v>7.4</v>
      </c>
    </row>
    <row r="13" spans="1:15" x14ac:dyDescent="0.35">
      <c r="A13" s="9" t="s">
        <v>70</v>
      </c>
      <c r="B13" s="12">
        <v>8165.3</v>
      </c>
      <c r="C13" s="12">
        <v>830.1</v>
      </c>
      <c r="D13" s="12">
        <v>7335.2</v>
      </c>
      <c r="E13" s="7">
        <v>883.7</v>
      </c>
      <c r="F13" s="13">
        <v>1.125</v>
      </c>
      <c r="G13" s="12">
        <v>4.3</v>
      </c>
    </row>
    <row r="14" spans="1:15" x14ac:dyDescent="0.35">
      <c r="A14" s="2" t="s">
        <v>72</v>
      </c>
      <c r="B14" s="5">
        <v>8799.4</v>
      </c>
      <c r="C14" s="5">
        <v>866.1</v>
      </c>
      <c r="D14" s="5">
        <v>7933.3</v>
      </c>
      <c r="E14" s="7">
        <v>916</v>
      </c>
      <c r="F14" s="6">
        <v>1.2170000000000001</v>
      </c>
      <c r="G14" s="5">
        <v>8.4</v>
      </c>
    </row>
    <row r="15" spans="1:15" x14ac:dyDescent="0.35">
      <c r="A15" s="9" t="s">
        <v>74</v>
      </c>
      <c r="B15" s="12">
        <v>8844.1</v>
      </c>
      <c r="C15" s="12">
        <v>909.2</v>
      </c>
      <c r="D15" s="12">
        <v>7934.9</v>
      </c>
      <c r="E15" s="7">
        <v>872.7</v>
      </c>
      <c r="F15" s="13">
        <v>1.25</v>
      </c>
      <c r="G15" s="12">
        <v>5.0999999999999996</v>
      </c>
    </row>
    <row r="16" spans="1:15" x14ac:dyDescent="0.35">
      <c r="A16" s="2" t="s">
        <v>76</v>
      </c>
      <c r="B16" s="5">
        <v>9080.2000000000007</v>
      </c>
      <c r="C16" s="5">
        <v>912.1</v>
      </c>
      <c r="D16" s="5">
        <v>8168.1</v>
      </c>
      <c r="E16" s="7">
        <v>895.5</v>
      </c>
      <c r="F16" s="6">
        <v>1.2170000000000001</v>
      </c>
      <c r="G16" s="5">
        <v>8.1</v>
      </c>
    </row>
    <row r="17" spans="1:15" x14ac:dyDescent="0.35">
      <c r="A17" s="9" t="s">
        <v>79</v>
      </c>
      <c r="B17" s="12">
        <v>8462.1</v>
      </c>
      <c r="C17" s="12">
        <v>819.4</v>
      </c>
      <c r="D17" s="12">
        <v>7642.7</v>
      </c>
      <c r="E17" s="7">
        <v>932.7</v>
      </c>
      <c r="F17" s="13">
        <v>1.125</v>
      </c>
      <c r="G17" s="12">
        <v>5.4</v>
      </c>
    </row>
    <row r="18" spans="1:15" x14ac:dyDescent="0.35">
      <c r="A18" s="2" t="s">
        <v>81</v>
      </c>
      <c r="B18" s="5">
        <v>7638</v>
      </c>
      <c r="C18" s="5">
        <v>711</v>
      </c>
      <c r="D18" s="5">
        <v>6927</v>
      </c>
      <c r="E18" s="7">
        <v>974.3</v>
      </c>
      <c r="F18" s="6">
        <v>1</v>
      </c>
      <c r="G18" s="5">
        <v>9.8000000000000007</v>
      </c>
    </row>
    <row r="19" spans="1:15" x14ac:dyDescent="0.35">
      <c r="A19" s="9" t="s">
        <v>84</v>
      </c>
      <c r="B19" s="12">
        <v>7089.7</v>
      </c>
      <c r="C19" s="12">
        <v>636.20000000000005</v>
      </c>
      <c r="D19" s="12">
        <v>6453.5</v>
      </c>
      <c r="E19" s="7">
        <v>1014.4</v>
      </c>
      <c r="F19" s="13">
        <v>0.875</v>
      </c>
      <c r="G19" s="12">
        <v>6.8</v>
      </c>
    </row>
    <row r="20" spans="1:15" x14ac:dyDescent="0.35">
      <c r="A20" s="2" t="s">
        <v>87</v>
      </c>
      <c r="B20" s="5">
        <v>5701.2</v>
      </c>
      <c r="C20" s="5">
        <v>571.1</v>
      </c>
      <c r="D20" s="5">
        <v>5130.1000000000004</v>
      </c>
      <c r="E20" s="7">
        <v>898.3</v>
      </c>
      <c r="F20" s="6">
        <v>0.78300000000000003</v>
      </c>
      <c r="G20" s="5">
        <v>6.8</v>
      </c>
    </row>
    <row r="21" spans="1:15" x14ac:dyDescent="0.35">
      <c r="A21" s="9" t="s">
        <v>88</v>
      </c>
      <c r="B21" s="12">
        <v>5583.9</v>
      </c>
      <c r="C21" s="12">
        <v>544.29999999999995</v>
      </c>
      <c r="D21" s="12">
        <v>5039.6000000000004</v>
      </c>
      <c r="E21" s="7">
        <v>925.9</v>
      </c>
      <c r="F21" s="13">
        <v>0.75</v>
      </c>
      <c r="G21" s="12">
        <v>7.3</v>
      </c>
    </row>
    <row r="22" spans="1:15" ht="8" customHeight="1" x14ac:dyDescent="0.35"/>
    <row r="23" spans="1:15" ht="20" customHeight="1" x14ac:dyDescent="0.35">
      <c r="A23" s="47" t="s">
        <v>318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</row>
  </sheetData>
  <mergeCells count="20">
    <mergeCell ref="A1:O1"/>
    <mergeCell ref="D6:F6"/>
    <mergeCell ref="A2:O2"/>
    <mergeCell ref="A5:C5"/>
    <mergeCell ref="G5:I5"/>
    <mergeCell ref="D4:F4"/>
    <mergeCell ref="A23:O23"/>
    <mergeCell ref="G4:I4"/>
    <mergeCell ref="A8:O8"/>
    <mergeCell ref="A4:C4"/>
    <mergeCell ref="D5:F5"/>
    <mergeCell ref="M4:O4"/>
    <mergeCell ref="J5:L5"/>
    <mergeCell ref="A6:C6"/>
    <mergeCell ref="M5:O5"/>
    <mergeCell ref="J6:L6"/>
    <mergeCell ref="G6:I6"/>
    <mergeCell ref="J4:L4"/>
    <mergeCell ref="M6:O6"/>
    <mergeCell ref="A3:O3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/>
  </sheetViews>
  <sheetFormatPr defaultRowHeight="14.5" x14ac:dyDescent="0.35"/>
  <sheetData>
    <row r="1" spans="1:3" x14ac:dyDescent="0.35">
      <c r="A1" t="s">
        <v>56</v>
      </c>
      <c r="B1" t="s">
        <v>319</v>
      </c>
      <c r="C1" t="s">
        <v>320</v>
      </c>
    </row>
    <row r="2" spans="1:3" x14ac:dyDescent="0.35">
      <c r="A2" t="s">
        <v>61</v>
      </c>
      <c r="B2">
        <v>6590.8</v>
      </c>
      <c r="C2">
        <v>587</v>
      </c>
    </row>
    <row r="3" spans="1:3" x14ac:dyDescent="0.35">
      <c r="A3" t="s">
        <v>64</v>
      </c>
      <c r="B3">
        <v>6062.5</v>
      </c>
      <c r="C3">
        <v>663.6</v>
      </c>
    </row>
    <row r="4" spans="1:3" x14ac:dyDescent="0.35">
      <c r="A4" t="s">
        <v>67</v>
      </c>
      <c r="B4">
        <v>8046.4</v>
      </c>
      <c r="C4">
        <v>737.5</v>
      </c>
    </row>
    <row r="5" spans="1:3" x14ac:dyDescent="0.35">
      <c r="A5" t="s">
        <v>70</v>
      </c>
      <c r="B5">
        <v>8165.3</v>
      </c>
      <c r="C5">
        <v>830.1</v>
      </c>
    </row>
    <row r="6" spans="1:3" x14ac:dyDescent="0.35">
      <c r="A6" t="s">
        <v>72</v>
      </c>
      <c r="B6">
        <v>8799.4</v>
      </c>
      <c r="C6">
        <v>866.1</v>
      </c>
    </row>
    <row r="7" spans="1:3" x14ac:dyDescent="0.35">
      <c r="A7" t="s">
        <v>74</v>
      </c>
      <c r="B7">
        <v>8844.1</v>
      </c>
      <c r="C7">
        <v>909.2</v>
      </c>
    </row>
    <row r="8" spans="1:3" x14ac:dyDescent="0.35">
      <c r="A8" t="s">
        <v>76</v>
      </c>
      <c r="B8">
        <v>9080.2000000000007</v>
      </c>
      <c r="C8">
        <v>912.1</v>
      </c>
    </row>
    <row r="9" spans="1:3" x14ac:dyDescent="0.35">
      <c r="A9" t="s">
        <v>79</v>
      </c>
      <c r="B9">
        <v>8462.1</v>
      </c>
      <c r="C9">
        <v>819.4</v>
      </c>
    </row>
    <row r="10" spans="1:3" x14ac:dyDescent="0.35">
      <c r="A10" t="s">
        <v>81</v>
      </c>
      <c r="B10">
        <v>7638</v>
      </c>
      <c r="C10">
        <v>711</v>
      </c>
    </row>
    <row r="11" spans="1:3" x14ac:dyDescent="0.35">
      <c r="A11" t="s">
        <v>84</v>
      </c>
      <c r="B11">
        <v>7089.7</v>
      </c>
      <c r="C11">
        <v>636.20000000000005</v>
      </c>
    </row>
    <row r="12" spans="1:3" x14ac:dyDescent="0.35">
      <c r="A12" t="s">
        <v>87</v>
      </c>
      <c r="B12">
        <v>5701.2</v>
      </c>
      <c r="C12">
        <v>571.1</v>
      </c>
    </row>
    <row r="13" spans="1:3" x14ac:dyDescent="0.35">
      <c r="A13" t="s">
        <v>88</v>
      </c>
      <c r="B13">
        <v>5583.9</v>
      </c>
      <c r="C13">
        <v>544.29999999999995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7"/>
  <sheetViews>
    <sheetView showGridLines="0" tabSelected="1" topLeftCell="A13" workbookViewId="0">
      <selection sqref="A1:S1"/>
    </sheetView>
  </sheetViews>
  <sheetFormatPr defaultRowHeight="14.5" x14ac:dyDescent="0.35"/>
  <cols>
    <col min="1" max="6" width="11.453125" customWidth="1"/>
    <col min="7" max="7" width="11.7265625" bestFit="1" customWidth="1"/>
    <col min="8" max="19" width="11.453125" customWidth="1"/>
  </cols>
  <sheetData>
    <row r="1" spans="1:19" ht="46" customHeight="1" x14ac:dyDescent="0.35">
      <c r="A1" s="76" t="s">
        <v>321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18" customHeight="1" x14ac:dyDescent="0.35">
      <c r="A2" s="42" t="s">
        <v>322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26" customHeight="1" x14ac:dyDescent="0.35">
      <c r="A3" s="112" t="s">
        <v>323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20" customHeight="1" x14ac:dyDescent="0.35">
      <c r="A4" s="56" t="s">
        <v>324</v>
      </c>
      <c r="B4" s="43"/>
      <c r="C4" s="43"/>
      <c r="D4" s="43"/>
      <c r="E4" s="43"/>
      <c r="F4" s="43"/>
      <c r="G4" s="43"/>
      <c r="H4" s="43"/>
      <c r="I4" s="43"/>
      <c r="K4" s="111" t="s">
        <v>325</v>
      </c>
      <c r="L4" s="43"/>
      <c r="M4" s="43"/>
      <c r="N4" s="43"/>
      <c r="O4" s="43"/>
      <c r="P4" s="43"/>
      <c r="Q4" s="43"/>
      <c r="R4" s="43"/>
      <c r="S4" s="43"/>
    </row>
    <row r="5" spans="1:19" ht="26" customHeight="1" x14ac:dyDescent="0.35">
      <c r="A5" s="109" t="s">
        <v>326</v>
      </c>
      <c r="B5" s="43"/>
      <c r="C5" s="43"/>
      <c r="D5" s="43"/>
      <c r="E5" s="43"/>
      <c r="F5" s="43"/>
      <c r="G5" s="35">
        <v>595456009.93000007</v>
      </c>
      <c r="H5" s="106" t="s">
        <v>327</v>
      </c>
      <c r="I5" s="43"/>
      <c r="K5" s="109" t="s">
        <v>328</v>
      </c>
      <c r="L5" s="43"/>
      <c r="M5" s="43"/>
      <c r="N5" s="43"/>
      <c r="O5" s="43"/>
      <c r="P5" s="43"/>
      <c r="Q5" s="36">
        <f>G5*(1+(G7/100))*(1+(G8/100))</f>
        <v>575210505.59238005</v>
      </c>
      <c r="R5" s="107"/>
      <c r="S5" s="43"/>
    </row>
    <row r="6" spans="1:19" ht="26" customHeight="1" x14ac:dyDescent="0.35">
      <c r="A6" s="109" t="s">
        <v>329</v>
      </c>
      <c r="B6" s="43"/>
      <c r="C6" s="43"/>
      <c r="D6" s="43"/>
      <c r="E6" s="43"/>
      <c r="F6" s="43"/>
      <c r="G6" s="37">
        <v>10</v>
      </c>
      <c r="H6" s="106" t="s">
        <v>330</v>
      </c>
      <c r="I6" s="43"/>
      <c r="K6" s="109" t="s">
        <v>331</v>
      </c>
      <c r="L6" s="43"/>
      <c r="M6" s="43"/>
      <c r="N6" s="43"/>
      <c r="O6" s="43"/>
      <c r="P6" s="43"/>
      <c r="Q6" s="38">
        <f>G5*(G6/100)</f>
        <v>59545600.993000008</v>
      </c>
      <c r="R6" s="107"/>
      <c r="S6" s="43"/>
    </row>
    <row r="7" spans="1:19" ht="26" customHeight="1" x14ac:dyDescent="0.35">
      <c r="A7" s="109" t="s">
        <v>332</v>
      </c>
      <c r="B7" s="43"/>
      <c r="C7" s="43"/>
      <c r="D7" s="43"/>
      <c r="E7" s="43"/>
      <c r="F7" s="43"/>
      <c r="G7" s="37">
        <v>5</v>
      </c>
      <c r="H7" s="106" t="s">
        <v>333</v>
      </c>
      <c r="I7" s="43"/>
      <c r="K7" s="109" t="s">
        <v>334</v>
      </c>
      <c r="L7" s="43"/>
      <c r="M7" s="43"/>
      <c r="N7" s="43"/>
      <c r="O7" s="43"/>
      <c r="P7" s="43"/>
      <c r="Q7" s="38">
        <f>G5*(G7/100)</f>
        <v>29772800.496500004</v>
      </c>
      <c r="R7" s="107"/>
      <c r="S7" s="43"/>
    </row>
    <row r="8" spans="1:19" ht="26" customHeight="1" x14ac:dyDescent="0.35">
      <c r="A8" s="109" t="s">
        <v>335</v>
      </c>
      <c r="B8" s="43"/>
      <c r="C8" s="43"/>
      <c r="D8" s="43"/>
      <c r="E8" s="43"/>
      <c r="F8" s="43"/>
      <c r="G8" s="37">
        <v>-8</v>
      </c>
      <c r="H8" s="106" t="s">
        <v>336</v>
      </c>
      <c r="I8" s="43"/>
      <c r="K8" s="109" t="s">
        <v>337</v>
      </c>
      <c r="L8" s="43"/>
      <c r="M8" s="43"/>
      <c r="N8" s="43"/>
      <c r="O8" s="43"/>
      <c r="P8" s="43"/>
      <c r="Q8" s="39">
        <f>G5*(G8/100)</f>
        <v>-47636480.794400007</v>
      </c>
      <c r="R8" s="107"/>
      <c r="S8" s="43"/>
    </row>
    <row r="9" spans="1:19" ht="26" customHeight="1" x14ac:dyDescent="0.35">
      <c r="A9" s="109" t="s">
        <v>338</v>
      </c>
      <c r="B9" s="43"/>
      <c r="C9" s="43"/>
      <c r="D9" s="43"/>
      <c r="E9" s="43"/>
      <c r="F9" s="43"/>
      <c r="G9" s="37">
        <v>85</v>
      </c>
      <c r="H9" s="106" t="s">
        <v>339</v>
      </c>
      <c r="I9" s="43"/>
      <c r="K9" s="109" t="s">
        <v>340</v>
      </c>
      <c r="L9" s="43"/>
      <c r="M9" s="43"/>
      <c r="N9" s="43"/>
      <c r="O9" s="43"/>
      <c r="P9" s="43"/>
      <c r="Q9" s="38">
        <f>G5*(G10/100)*0.08</f>
        <v>3334553.6556080007</v>
      </c>
      <c r="R9" s="107"/>
      <c r="S9" s="43"/>
    </row>
    <row r="10" spans="1:19" ht="26" customHeight="1" x14ac:dyDescent="0.35">
      <c r="A10" s="109" t="s">
        <v>341</v>
      </c>
      <c r="B10" s="43"/>
      <c r="C10" s="43"/>
      <c r="D10" s="43"/>
      <c r="E10" s="43"/>
      <c r="F10" s="43"/>
      <c r="G10" s="37">
        <v>7</v>
      </c>
      <c r="H10" s="106" t="s">
        <v>342</v>
      </c>
      <c r="I10" s="43"/>
      <c r="K10" s="109" t="s">
        <v>343</v>
      </c>
      <c r="L10" s="43"/>
      <c r="M10" s="43"/>
      <c r="N10" s="43"/>
      <c r="O10" s="43"/>
      <c r="P10" s="43"/>
      <c r="Q10" s="36">
        <f>G5*(G11/100)</f>
        <v>208409603.47550002</v>
      </c>
      <c r="R10" s="107"/>
      <c r="S10" s="43"/>
    </row>
    <row r="11" spans="1:19" ht="26" customHeight="1" x14ac:dyDescent="0.35">
      <c r="A11" s="109" t="s">
        <v>344</v>
      </c>
      <c r="B11" s="43"/>
      <c r="C11" s="43"/>
      <c r="D11" s="43"/>
      <c r="E11" s="43"/>
      <c r="F11" s="43"/>
      <c r="G11" s="37">
        <v>35</v>
      </c>
      <c r="H11" s="106" t="s">
        <v>345</v>
      </c>
      <c r="I11" s="43"/>
      <c r="K11" s="109" t="s">
        <v>346</v>
      </c>
      <c r="L11" s="43"/>
      <c r="M11" s="43"/>
      <c r="N11" s="43"/>
      <c r="O11" s="43"/>
      <c r="P11" s="43"/>
      <c r="Q11" s="39">
        <f>G5*(G12/100)*(1-(G13/100))</f>
        <v>7145472.1191600021</v>
      </c>
      <c r="R11" s="107"/>
      <c r="S11" s="43"/>
    </row>
    <row r="12" spans="1:19" ht="26" customHeight="1" x14ac:dyDescent="0.35">
      <c r="A12" s="109" t="s">
        <v>347</v>
      </c>
      <c r="B12" s="43"/>
      <c r="C12" s="43"/>
      <c r="D12" s="43"/>
      <c r="E12" s="43"/>
      <c r="F12" s="43"/>
      <c r="G12" s="37">
        <v>8</v>
      </c>
      <c r="H12" s="106" t="s">
        <v>348</v>
      </c>
      <c r="I12" s="43"/>
      <c r="K12" s="109" t="s">
        <v>349</v>
      </c>
      <c r="L12" s="43"/>
      <c r="M12" s="43"/>
      <c r="N12" s="43"/>
      <c r="O12" s="43"/>
      <c r="P12" s="43"/>
      <c r="Q12" s="40">
        <f>G9*(1+(G6/100))</f>
        <v>93.500000000000014</v>
      </c>
      <c r="R12" s="107"/>
      <c r="S12" s="43"/>
    </row>
    <row r="13" spans="1:19" ht="26" customHeight="1" x14ac:dyDescent="0.35">
      <c r="A13" s="109" t="s">
        <v>350</v>
      </c>
      <c r="B13" s="43"/>
      <c r="C13" s="43"/>
      <c r="D13" s="43"/>
      <c r="E13" s="43"/>
      <c r="F13" s="43"/>
      <c r="G13" s="37">
        <v>85</v>
      </c>
      <c r="H13" s="106" t="s">
        <v>351</v>
      </c>
      <c r="I13" s="43"/>
      <c r="K13" s="109" t="s">
        <v>352</v>
      </c>
      <c r="L13" s="43"/>
      <c r="M13" s="43"/>
      <c r="N13" s="43"/>
      <c r="O13" s="43"/>
      <c r="P13" s="43"/>
      <c r="Q13" s="41">
        <f>I5+I6+I7+I8+I9-I11</f>
        <v>0</v>
      </c>
      <c r="R13" s="107"/>
      <c r="S13" s="43"/>
    </row>
    <row r="14" spans="1:19" ht="10" customHeight="1" x14ac:dyDescent="0.35"/>
    <row r="15" spans="1:19" ht="20" customHeight="1" x14ac:dyDescent="0.35">
      <c r="A15" s="110" t="s">
        <v>353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</row>
    <row r="16" spans="1:19" ht="18" customHeight="1" x14ac:dyDescent="0.35">
      <c r="A16" s="108" t="s">
        <v>354</v>
      </c>
      <c r="B16" s="43"/>
      <c r="C16" s="43"/>
      <c r="D16" s="105" t="s">
        <v>355</v>
      </c>
      <c r="E16" s="43"/>
      <c r="F16" s="43"/>
      <c r="G16" s="43"/>
      <c r="H16" s="43"/>
      <c r="I16" s="104" t="s">
        <v>356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1:19" ht="18" customHeight="1" x14ac:dyDescent="0.3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</row>
    <row r="18" spans="1:19" ht="18" customHeight="1" x14ac:dyDescent="0.35">
      <c r="A18" s="108" t="s">
        <v>357</v>
      </c>
      <c r="B18" s="43"/>
      <c r="C18" s="43"/>
      <c r="D18" s="105" t="s">
        <v>358</v>
      </c>
      <c r="E18" s="43"/>
      <c r="F18" s="43"/>
      <c r="G18" s="43"/>
      <c r="H18" s="43"/>
      <c r="I18" s="104" t="s">
        <v>359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18" customHeight="1" x14ac:dyDescent="0.3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1:19" ht="18" customHeight="1" x14ac:dyDescent="0.35">
      <c r="A20" s="108" t="s">
        <v>360</v>
      </c>
      <c r="B20" s="43"/>
      <c r="C20" s="43"/>
      <c r="D20" s="105" t="s">
        <v>361</v>
      </c>
      <c r="E20" s="43"/>
      <c r="F20" s="43"/>
      <c r="G20" s="43"/>
      <c r="H20" s="43"/>
      <c r="I20" s="104" t="s">
        <v>362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1:19" ht="18" customHeight="1" x14ac:dyDescent="0.3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1:19" ht="18" customHeight="1" x14ac:dyDescent="0.35">
      <c r="A22" s="108" t="s">
        <v>363</v>
      </c>
      <c r="B22" s="43"/>
      <c r="C22" s="43"/>
      <c r="D22" s="105" t="s">
        <v>364</v>
      </c>
      <c r="E22" s="43"/>
      <c r="F22" s="43"/>
      <c r="G22" s="43"/>
      <c r="H22" s="43"/>
      <c r="I22" s="104" t="s">
        <v>365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 spans="1:19" ht="18" customHeight="1" x14ac:dyDescent="0.3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 spans="1:19" ht="18" customHeight="1" x14ac:dyDescent="0.35">
      <c r="A24" s="108" t="s">
        <v>366</v>
      </c>
      <c r="B24" s="43"/>
      <c r="C24" s="43"/>
      <c r="D24" s="105" t="s">
        <v>367</v>
      </c>
      <c r="E24" s="43"/>
      <c r="F24" s="43"/>
      <c r="G24" s="43"/>
      <c r="H24" s="43"/>
      <c r="I24" s="104" t="s">
        <v>368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 ht="18" customHeight="1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1:19" ht="18" customHeight="1" x14ac:dyDescent="0.35">
      <c r="A26" s="108" t="s">
        <v>369</v>
      </c>
      <c r="B26" s="43"/>
      <c r="C26" s="43"/>
      <c r="D26" s="105" t="s">
        <v>370</v>
      </c>
      <c r="E26" s="43"/>
      <c r="F26" s="43"/>
      <c r="G26" s="43"/>
      <c r="H26" s="43"/>
      <c r="I26" s="104" t="s">
        <v>371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spans="1:19" ht="18" customHeight="1" x14ac:dyDescent="0.3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</sheetData>
  <mergeCells count="60">
    <mergeCell ref="A1:S1"/>
    <mergeCell ref="A9:F9"/>
    <mergeCell ref="K6:P6"/>
    <mergeCell ref="K11:P11"/>
    <mergeCell ref="K4:S4"/>
    <mergeCell ref="A11:F11"/>
    <mergeCell ref="K9:P9"/>
    <mergeCell ref="K5:P5"/>
    <mergeCell ref="A6:F6"/>
    <mergeCell ref="A3:S3"/>
    <mergeCell ref="H5:I5"/>
    <mergeCell ref="H8:I8"/>
    <mergeCell ref="R9:S9"/>
    <mergeCell ref="R5:S5"/>
    <mergeCell ref="A2:S2"/>
    <mergeCell ref="A7:F7"/>
    <mergeCell ref="D26:H27"/>
    <mergeCell ref="A10:F10"/>
    <mergeCell ref="A13:F13"/>
    <mergeCell ref="H7:I7"/>
    <mergeCell ref="K10:P10"/>
    <mergeCell ref="K13:P13"/>
    <mergeCell ref="I22:S23"/>
    <mergeCell ref="H13:I13"/>
    <mergeCell ref="D22:H23"/>
    <mergeCell ref="A26:C27"/>
    <mergeCell ref="H12:I12"/>
    <mergeCell ref="A18:C19"/>
    <mergeCell ref="I16:S17"/>
    <mergeCell ref="A22:C23"/>
    <mergeCell ref="I26:S27"/>
    <mergeCell ref="R8:S8"/>
    <mergeCell ref="A4:I4"/>
    <mergeCell ref="A15:S15"/>
    <mergeCell ref="R12:S12"/>
    <mergeCell ref="K7:P7"/>
    <mergeCell ref="A16:C17"/>
    <mergeCell ref="H11:I11"/>
    <mergeCell ref="K8:P8"/>
    <mergeCell ref="H6:I6"/>
    <mergeCell ref="R7:S7"/>
    <mergeCell ref="A5:F5"/>
    <mergeCell ref="R6:S6"/>
    <mergeCell ref="A8:F8"/>
    <mergeCell ref="I24:S25"/>
    <mergeCell ref="A12:F12"/>
    <mergeCell ref="R13:S13"/>
    <mergeCell ref="D24:H25"/>
    <mergeCell ref="H9:I9"/>
    <mergeCell ref="K12:P12"/>
    <mergeCell ref="D18:H19"/>
    <mergeCell ref="I20:S21"/>
    <mergeCell ref="D20:H21"/>
    <mergeCell ref="A24:C25"/>
    <mergeCell ref="I18:S19"/>
    <mergeCell ref="D16:H17"/>
    <mergeCell ref="H10:I10"/>
    <mergeCell ref="R11:S11"/>
    <mergeCell ref="A20:C21"/>
    <mergeCell ref="R10:S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🏠 Dashboard</vt:lpstr>
      <vt:lpstr>📊 Route Performance</vt:lpstr>
      <vt:lpstr>_cd1</vt:lpstr>
      <vt:lpstr>📦 Capacity Dashboard</vt:lpstr>
      <vt:lpstr>_cd2</vt:lpstr>
      <vt:lpstr>💰 Revenue Management</vt:lpstr>
      <vt:lpstr>_cd3</vt:lpstr>
      <vt:lpstr>🚨 Disruption Analysis</vt:lpstr>
      <vt:lpstr>_cd4</vt:lpstr>
      <vt:lpstr>🌐 Network Gateway</vt:lpstr>
      <vt:lpstr>_cd5</vt:lpstr>
      <vt:lpstr>📈 Demand Forecast</vt:lpstr>
      <vt:lpstr>_cd6</vt:lpstr>
      <vt:lpstr>🎛 What-If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kimaiyo</cp:lastModifiedBy>
  <dcterms:created xsi:type="dcterms:W3CDTF">2026-06-11T20:04:21Z</dcterms:created>
  <dcterms:modified xsi:type="dcterms:W3CDTF">2026-06-12T14:25:05Z</dcterms:modified>
</cp:coreProperties>
</file>